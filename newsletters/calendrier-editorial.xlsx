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rier" sheetId="1" state="visible" r:id="rId3"/>
    <sheet name="Règles" sheetId="2" state="visible" r:id="rId4"/>
    <sheet name="Vue par mois" sheetId="3" state="visible" r:id="rId5"/>
  </sheets>
  <definedNames>
    <definedName function="false" hidden="true" localSheetId="0" name="_xlnm._FilterDatabase" vbProcedure="false">Calendrier!$A$1:$N$61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<sst xmlns="http://schemas.openxmlformats.org/spreadsheetml/2006/main" count="469" uniqueCount="108">
  <si>
    <t xml:space="preserve">Date d'envoi</t>
  </si>
  <si>
    <t xml:space="preserve">Jour</t>
  </si>
  <si>
    <t xml:space="preserve">Mois</t>
  </si>
  <si>
    <t xml:space="preserve">Newsletter</t>
  </si>
  <si>
    <t xml:space="preserve">Cible</t>
  </si>
  <si>
    <t xml:space="preserve">Langues</t>
  </si>
  <si>
    <t xml:space="preserve">Sujet principal</t>
  </si>
  <si>
    <t xml:space="preserve">Objet de l'e-mail</t>
  </si>
  <si>
    <t xml:space="preserve">Statut</t>
  </si>
  <si>
    <t xml:space="preserve">Responsable</t>
  </si>
  <si>
    <t xml:space="preserve">Texte FR validé</t>
  </si>
  <si>
    <t xml:space="preserve">Traductions prêtes</t>
  </si>
  <si>
    <t xml:space="preserve">Programmé dans Brevo</t>
  </si>
  <si>
    <t xml:space="preserve">Note</t>
  </si>
  <si>
    <t xml:space="preserve">Octobre 2026</t>
  </si>
  <si>
    <t xml:space="preserve">B2B</t>
  </si>
  <si>
    <t xml:space="preserve">Partenaires et clients pros</t>
  </si>
  <si>
    <t xml:space="preserve">FR, EN, IT, ES, DE, NL, PL</t>
  </si>
  <si>
    <t xml:space="preserve">À définir</t>
  </si>
  <si>
    <t xml:space="preserve">À rédiger</t>
  </si>
  <si>
    <t xml:space="preserve">Trucker</t>
  </si>
  <si>
    <t xml:space="preserve">Conducteurs (app)</t>
  </si>
  <si>
    <t xml:space="preserve">FR, IT</t>
  </si>
  <si>
    <t xml:space="preserve">Heure d'hiver : trouver sa place avant la nuit. En bref : Profil Trucker, amis et recommandations, Loi Montagne / obbligo invernale.</t>
  </si>
  <si>
    <t xml:space="preserve">Depuis dimanche, la nuit te rattrape</t>
  </si>
  <si>
    <t xml:space="preserve">Rédigé</t>
  </si>
  <si>
    <t xml:space="preserve">Owner</t>
  </si>
  <si>
    <t xml:space="preserve">Établissements sur Truckfly</t>
  </si>
  <si>
    <t xml:space="preserve">FR</t>
  </si>
  <si>
    <t xml:space="preserve">Nouveautés Trucker</t>
  </si>
  <si>
    <t xml:space="preserve">Si nouveauté</t>
  </si>
  <si>
    <t xml:space="preserve">Novembre 2026</t>
  </si>
  <si>
    <t xml:space="preserve">Le 15 tombe un dimanche : décalé au lundi.</t>
  </si>
  <si>
    <t xml:space="preserve">Décembre 2026</t>
  </si>
  <si>
    <t xml:space="preserve">Vendredi 25 décembre 2026 : Noël, avancé au vendredi précédent.</t>
  </si>
  <si>
    <t xml:space="preserve">Janvier 2027</t>
  </si>
  <si>
    <t xml:space="preserve">Février 2027</t>
  </si>
  <si>
    <t xml:space="preserve">Mars 2027</t>
  </si>
  <si>
    <t xml:space="preserve">Vendredi saint (férié en Allemagne et en Espagne, pas en France ni en Italie).</t>
  </si>
  <si>
    <t xml:space="preserve">Lundi de Pâques : décalé au mardi.</t>
  </si>
  <si>
    <t xml:space="preserve">Avril 2027</t>
  </si>
  <si>
    <t xml:space="preserve">Mai 2027</t>
  </si>
  <si>
    <t xml:space="preserve">Le 15 tombe un samedi : avancé au vendredi.</t>
  </si>
  <si>
    <t xml:space="preserve">Juin 2027</t>
  </si>
  <si>
    <t xml:space="preserve">Juillet 2027</t>
  </si>
  <si>
    <t xml:space="preserve">Août 2027</t>
  </si>
  <si>
    <t xml:space="preserve">Le 15 tombe un dimanche : décalé au lundi. Creux de l'été : envisager une édition plus courte.</t>
  </si>
  <si>
    <t xml:space="preserve">Septembre 2027</t>
  </si>
  <si>
    <t xml:space="preserve">Octobre 2027</t>
  </si>
  <si>
    <t xml:space="preserve">Toussaint : décalé au mardi.</t>
  </si>
  <si>
    <t xml:space="preserve">Novembre 2027</t>
  </si>
  <si>
    <t xml:space="preserve">Décembre 2027</t>
  </si>
  <si>
    <t xml:space="preserve">Vendredi 31 décembre 2027 : Saint-Sylvestre, avancé au vendredi précédent. Vendredi 24 décembre 2027 : Veille de Noël, avancé au vendredi précédent.</t>
  </si>
  <si>
    <t xml:space="preserve">Mode d'emploi</t>
  </si>
  <si>
    <t xml:space="preserve">Cases à remplir</t>
  </si>
  <si>
    <t xml:space="preserve">Fond jaune clair dans Calendrier : Sujet principal, Objet, Statut, Responsable.</t>
  </si>
  <si>
    <t xml:space="preserve">Exemple</t>
  </si>
  <si>
    <t xml:space="preserve">La ligne Trucker du 30 octobre 2026 est remplie.</t>
  </si>
  <si>
    <t xml:space="preserve">Le 15 du mois. Samedi : vendredi 14. Dimanche : lundi 16. Jour férié : jour ouvré suivant.</t>
  </si>
  <si>
    <t xml:space="preserve">Trucker et Owner</t>
  </si>
  <si>
    <t xml:space="preserve">Le dernier vendredi du mois. Jour férié, 24 ou 31 décembre : vendredi précédent.</t>
  </si>
  <si>
    <t xml:space="preserve">Le lundi qui suit l'envoi Trucker, seulement s'il y a une nouveauté. Jour férié : mardi.</t>
  </si>
  <si>
    <t xml:space="preserve">Échéances (proposition)</t>
  </si>
  <si>
    <t xml:space="preserve">Texte FR validé : 5 jours ouvrés avant l'envoi. Traductions prêtes : 3 jours ouvrés avant. Programmé dans Brevo : 1 jour ouvré avant. Calculées à partir de la date d'envoi et des jours fériés ci-dessous.</t>
  </si>
  <si>
    <t xml:space="preserve">Changer une date</t>
  </si>
  <si>
    <t xml:space="preserve">Modifier la date d'envoi dans Calendrier : jour, échéances et Vue par mois se mettent à jour.</t>
  </si>
  <si>
    <t xml:space="preserve">Jours fériés pris en compte (France et Italie)</t>
  </si>
  <si>
    <t xml:space="preserve">Date</t>
  </si>
  <si>
    <t xml:space="preserve">Férié</t>
  </si>
  <si>
    <t xml:space="preserve">dimanche 1 novembre 2026</t>
  </si>
  <si>
    <t xml:space="preserve">Toussaint</t>
  </si>
  <si>
    <t xml:space="preserve">mercredi 11 novembre 2026</t>
  </si>
  <si>
    <t xml:space="preserve">Armistice (FR)</t>
  </si>
  <si>
    <t xml:space="preserve">mardi 8 décembre 2026</t>
  </si>
  <si>
    <t xml:space="preserve">Immacolata (IT)</t>
  </si>
  <si>
    <t xml:space="preserve">vendredi 25 décembre 2026</t>
  </si>
  <si>
    <t xml:space="preserve">Noël</t>
  </si>
  <si>
    <t xml:space="preserve">samedi 26 décembre 2026</t>
  </si>
  <si>
    <t xml:space="preserve">Santo Stefano (IT)</t>
  </si>
  <si>
    <t xml:space="preserve">vendredi 1 janvier 2027</t>
  </si>
  <si>
    <t xml:space="preserve">Jour de l'an</t>
  </si>
  <si>
    <t xml:space="preserve">mercredi 6 janvier 2027</t>
  </si>
  <si>
    <t xml:space="preserve">Epifania (IT)</t>
  </si>
  <si>
    <t xml:space="preserve">dimanche 28 mars 2027</t>
  </si>
  <si>
    <t xml:space="preserve">Pâques</t>
  </si>
  <si>
    <t xml:space="preserve">lundi 29 mars 2027</t>
  </si>
  <si>
    <t xml:space="preserve">Lundi de Pâques</t>
  </si>
  <si>
    <t xml:space="preserve">dimanche 25 avril 2027</t>
  </si>
  <si>
    <t xml:space="preserve">Liberazione (IT)</t>
  </si>
  <si>
    <t xml:space="preserve">samedi 1 mai 2027</t>
  </si>
  <si>
    <t xml:space="preserve">Fête du travail</t>
  </si>
  <si>
    <t xml:space="preserve">jeudi 6 mai 2027</t>
  </si>
  <si>
    <t xml:space="preserve">Ascension (FR)</t>
  </si>
  <si>
    <t xml:space="preserve">samedi 8 mai 2027</t>
  </si>
  <si>
    <t xml:space="preserve">Victoire 1945 (FR)</t>
  </si>
  <si>
    <t xml:space="preserve">lundi 17 mai 2027</t>
  </si>
  <si>
    <t xml:space="preserve">Lundi de Pentecôte (FR)</t>
  </si>
  <si>
    <t xml:space="preserve">mercredi 2 juin 2027</t>
  </si>
  <si>
    <t xml:space="preserve">Festa della Repubblica (IT)</t>
  </si>
  <si>
    <t xml:space="preserve">mercredi 14 juillet 2027</t>
  </si>
  <si>
    <t xml:space="preserve">Fête nationale (FR)</t>
  </si>
  <si>
    <t xml:space="preserve">dimanche 15 août 2027</t>
  </si>
  <si>
    <t xml:space="preserve">Assomption</t>
  </si>
  <si>
    <t xml:space="preserve">lundi 1 novembre 2027</t>
  </si>
  <si>
    <t xml:space="preserve">jeudi 11 novembre 2027</t>
  </si>
  <si>
    <t xml:space="preserve">mercredi 8 décembre 2027</t>
  </si>
  <si>
    <t xml:space="preserve">samedi 25 décembre 2027</t>
  </si>
  <si>
    <t xml:space="preserve">dimanche 26 décembre 2027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</si>
</sst>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dd\ 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061866"/>
      <name val="Arial"/>
      <family val="0"/>
      <charset val="1"/>
    </font>
    <font>
      <b val="true"/>
      <sz val="12"/>
      <color rgb="FF0618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866"/>
        <bgColor rgb="FF000080"/>
      </patternFill>
    </fill>
    <fill>
      <patternFill patternType="solid">
        <fgColor rgb="FFDCE6F7"/>
        <bgColor rgb="FFDFF0E0"/>
      </patternFill>
    </fill>
    <fill>
      <patternFill patternType="solid">
        <fgColor rgb="FFFFFBE6"/>
        <bgColor rgb="FFFFFFFF"/>
      </patternFill>
    </fill>
    <fill>
      <patternFill patternType="solid">
        <fgColor rgb="FFFFF7B3"/>
        <bgColor rgb="FFFFFBE6"/>
      </patternFill>
    </fill>
    <fill>
      <patternFill patternType="solid">
        <fgColor rgb="FFDFF0E0"/>
        <bgColor rgb="FFDCE6F7"/>
      </patternFill>
    </fill>
    <fill>
      <patternFill patternType="solid">
        <fgColor rgb="FFFBE3D0"/>
        <bgColor rgb="FFFFF7B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E0"/>
      </left>
      <right style="thin">
        <color rgb="FFD0D4E0"/>
      </right>
      <top style="thin">
        <color rgb="FFD0D4E0"/>
      </top>
      <bottom style="thin">
        <color rgb="FFD0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618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7"/>
          <bgColor rgb="FF000000"/>
        </patternFill>
      </fill>
    </dxf>
    <dxf>
      <fill>
        <patternFill patternType="solid">
          <fgColor rgb="FFDFF0E0"/>
          <bgColor rgb="FF000000"/>
        </patternFill>
      </fill>
    </dxf>
    <dxf>
      <fill>
        <patternFill patternType="solid">
          <fgColor rgb="FFFBE3D0"/>
          <bgColor rgb="FF000000"/>
        </patternFill>
      </fill>
    </dxf>
    <dxf>
      <fill>
        <patternFill patternType="solid">
          <fgColor rgb="FFFFF7B3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ont>
        <name val="Arial"/>
        <charset val="1"/>
        <family val="0"/>
        <color rgb="FF8A8F9C"/>
      </font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866"/>
      <rgbColor rgb="FF808000"/>
      <rgbColor rgb="FF800080"/>
      <rgbColor rgb="FF008080"/>
      <rgbColor rgb="FFC0C0C0"/>
      <rgbColor rgb="FF808080"/>
      <rgbColor rgb="FF9999FF"/>
      <rgbColor rgb="FF993366"/>
      <rgbColor rgb="FFFFFBE6"/>
      <rgbColor rgb="FFDCE6F7"/>
      <rgbColor rgb="FF660066"/>
      <rgbColor rgb="FFFF8080"/>
      <rgbColor rgb="FF0066CC"/>
      <rgbColor rgb="FFD0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DFF0E0"/>
      <rgbColor rgb="FFFFF7B3"/>
      <rgbColor rgb="FF99CCFF"/>
      <rgbColor rgb="FFFF99CC"/>
      <rgbColor rgb="FFCC99FF"/>
      <rgbColor rgb="FFFBE3D0"/>
      <rgbColor rgb="FF3366FF"/>
      <rgbColor rgb="FF33CCCC"/>
      <rgbColor rgb="FF99CC00"/>
      <rgbColor rgb="FFFFCC00"/>
      <rgbColor rgb="FFFF9900"/>
      <rgbColor rgb="FFFF6600"/>
      <rgbColor rgb="FF666699"/>
      <rgbColor rgb="FF8A8F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6" min="5" style="0" width="26"/>
    <col collapsed="false" customWidth="true" hidden="false" outlineLevel="0" max="7" min="7" style="0" width="44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3" min="11" style="0" width="14"/>
    <col collapsed="false" customWidth="true" hidden="false" outlineLevel="0" max="14" min="14" style="0" width="5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46310</v>
      </c>
      <c r="B2" s="3" t="str">
        <f aca="false">CHOOSE(WEEKDAY(A2,2),"lundi","mardi","mercredi","jeudi","vendredi","samedi","dimanche")</f>
        <v>jeudi</v>
      </c>
      <c r="C2" s="3" t="s">
        <v>14</v>
      </c>
      <c r="D2" s="4" t="s">
        <v>15</v>
      </c>
      <c r="E2" s="3" t="s">
        <v>16</v>
      </c>
      <c r="F2" s="3" t="s">
        <v>17</v>
      </c>
      <c r="G2" s="5" t="s">
        <v>18</v>
      </c>
      <c r="H2" s="5"/>
      <c r="I2" s="6" t="s">
        <v>19</v>
      </c>
      <c r="J2" s="6"/>
      <c r="K2" s="2" t="n">
        <f aca="false">WORKDAY(A2,-5,Règles!$A$13:$A$34)</f>
        <v>46303</v>
      </c>
      <c r="L2" s="2" t="n">
        <f aca="false">IF(F2="FR","—",WORKDAY(A2,-3,Règles!$A$13:$A$34))</f>
        <v>46307</v>
      </c>
      <c r="M2" s="2" t="n">
        <f aca="false">WORKDAY(A2,-1,Règles!$A$13:$A$34)</f>
        <v>46309</v>
      </c>
      <c r="N2" s="7"/>
    </row>
    <row r="3" customFormat="false" ht="52.2" hidden="false" customHeight="false" outlineLevel="0" collapsed="false">
      <c r="A3" s="2" t="n">
        <v>46325</v>
      </c>
      <c r="B3" s="3" t="str">
        <f aca="false">CHOOSE(WEEKDAY(A3,2),"lundi","mardi","mercredi","jeudi","vendredi","samedi","dimanche")</f>
        <v>vendredi</v>
      </c>
      <c r="C3" s="3" t="s">
        <v>14</v>
      </c>
      <c r="D3" s="8" t="s">
        <v>20</v>
      </c>
      <c r="E3" s="3" t="s">
        <v>21</v>
      </c>
      <c r="F3" s="3" t="s">
        <v>22</v>
      </c>
      <c r="G3" s="5" t="s">
        <v>23</v>
      </c>
      <c r="H3" s="5" t="s">
        <v>24</v>
      </c>
      <c r="I3" s="6" t="s">
        <v>25</v>
      </c>
      <c r="J3" s="6"/>
      <c r="K3" s="2" t="n">
        <f aca="false">WORKDAY(A3,-5,Règles!$A$13:$A$34)</f>
        <v>46318</v>
      </c>
      <c r="L3" s="2" t="n">
        <f aca="false">IF(F3="FR","—",WORKDAY(A3,-3,Règles!$A$13:$A$34))</f>
        <v>46322</v>
      </c>
      <c r="M3" s="2" t="n">
        <f aca="false">WORKDAY(A3,-1,Règles!$A$13:$A$34)</f>
        <v>46324</v>
      </c>
      <c r="N3" s="7"/>
    </row>
    <row r="4" customFormat="false" ht="15" hidden="false" customHeight="false" outlineLevel="0" collapsed="false">
      <c r="A4" s="2" t="n">
        <v>46325</v>
      </c>
      <c r="B4" s="3" t="str">
        <f aca="false">CHOOSE(WEEKDAY(A4,2),"lundi","mardi","mercredi","jeudi","vendredi","samedi","dimanche")</f>
        <v>vendredi</v>
      </c>
      <c r="C4" s="3" t="s">
        <v>14</v>
      </c>
      <c r="D4" s="9" t="s">
        <v>26</v>
      </c>
      <c r="E4" s="3" t="s">
        <v>27</v>
      </c>
      <c r="F4" s="3" t="s">
        <v>28</v>
      </c>
      <c r="G4" s="5" t="s">
        <v>18</v>
      </c>
      <c r="H4" s="5"/>
      <c r="I4" s="6" t="s">
        <v>19</v>
      </c>
      <c r="J4" s="6"/>
      <c r="K4" s="2" t="n">
        <f aca="false">WORKDAY(A4,-5,Règles!$A$13:$A$34)</f>
        <v>46318</v>
      </c>
      <c r="L4" s="2" t="str">
        <f aca="false">IF(F4="FR","—",WORKDAY(A4,-3,Règles!$A$13:$A$34))</f>
        <v>—</v>
      </c>
      <c r="M4" s="2" t="n">
        <f aca="false">WORKDAY(A4,-1,Règles!$A$13:$A$34)</f>
        <v>46324</v>
      </c>
      <c r="N4" s="7"/>
    </row>
    <row r="5" customFormat="false" ht="15" hidden="false" customHeight="false" outlineLevel="0" collapsed="false">
      <c r="A5" s="2" t="n">
        <v>46328</v>
      </c>
      <c r="B5" s="3" t="str">
        <f aca="false">CHOOSE(WEEKDAY(A5,2),"lundi","mardi","mercredi","jeudi","vendredi","samedi","dimanche")</f>
        <v>lundi</v>
      </c>
      <c r="C5" s="3" t="s">
        <v>14</v>
      </c>
      <c r="D5" s="10" t="s">
        <v>29</v>
      </c>
      <c r="E5" s="3" t="s">
        <v>21</v>
      </c>
      <c r="F5" s="3" t="s">
        <v>22</v>
      </c>
      <c r="G5" s="5" t="s">
        <v>18</v>
      </c>
      <c r="H5" s="5"/>
      <c r="I5" s="6" t="s">
        <v>30</v>
      </c>
      <c r="J5" s="6"/>
      <c r="K5" s="2" t="n">
        <f aca="false">WORKDAY(A5,-5,Règles!$A$13:$A$34)</f>
        <v>46321</v>
      </c>
      <c r="L5" s="2" t="n">
        <f aca="false">IF(F5="FR","—",WORKDAY(A5,-3,Règles!$A$13:$A$34))</f>
        <v>46323</v>
      </c>
      <c r="M5" s="2" t="n">
        <f aca="false">WORKDAY(A5,-1,Règles!$A$13:$A$34)</f>
        <v>46325</v>
      </c>
      <c r="N5" s="7"/>
    </row>
    <row r="6" customFormat="false" ht="15" hidden="false" customHeight="false" outlineLevel="0" collapsed="false">
      <c r="A6" s="2" t="n">
        <v>46342</v>
      </c>
      <c r="B6" s="3" t="str">
        <f aca="false">CHOOSE(WEEKDAY(A6,2),"lundi","mardi","mercredi","jeudi","vendredi","samedi","dimanche")</f>
        <v>lundi</v>
      </c>
      <c r="C6" s="3" t="s">
        <v>31</v>
      </c>
      <c r="D6" s="4" t="s">
        <v>15</v>
      </c>
      <c r="E6" s="3" t="s">
        <v>16</v>
      </c>
      <c r="F6" s="3" t="s">
        <v>17</v>
      </c>
      <c r="G6" s="5" t="s">
        <v>18</v>
      </c>
      <c r="H6" s="5"/>
      <c r="I6" s="6" t="s">
        <v>19</v>
      </c>
      <c r="J6" s="6"/>
      <c r="K6" s="2" t="n">
        <f aca="false">WORKDAY(A6,-5,Règles!$A$13:$A$34)</f>
        <v>46332</v>
      </c>
      <c r="L6" s="2" t="n">
        <f aca="false">IF(F6="FR","—",WORKDAY(A6,-3,Règles!$A$13:$A$34))</f>
        <v>46336</v>
      </c>
      <c r="M6" s="2" t="n">
        <f aca="false">WORKDAY(A6,-1,Règles!$A$13:$A$34)</f>
        <v>46339</v>
      </c>
      <c r="N6" s="7" t="s">
        <v>32</v>
      </c>
    </row>
    <row r="7" customFormat="false" ht="15" hidden="false" customHeight="false" outlineLevel="0" collapsed="false">
      <c r="A7" s="2" t="n">
        <v>46353</v>
      </c>
      <c r="B7" s="3" t="str">
        <f aca="false">CHOOSE(WEEKDAY(A7,2),"lundi","mardi","mercredi","jeudi","vendredi","samedi","dimanche")</f>
        <v>vendredi</v>
      </c>
      <c r="C7" s="3" t="s">
        <v>31</v>
      </c>
      <c r="D7" s="8" t="s">
        <v>20</v>
      </c>
      <c r="E7" s="3" t="s">
        <v>21</v>
      </c>
      <c r="F7" s="3" t="s">
        <v>22</v>
      </c>
      <c r="G7" s="5" t="s">
        <v>18</v>
      </c>
      <c r="H7" s="5"/>
      <c r="I7" s="6" t="s">
        <v>19</v>
      </c>
      <c r="J7" s="6"/>
      <c r="K7" s="2" t="n">
        <f aca="false">WORKDAY(A7,-5,Règles!$A$13:$A$34)</f>
        <v>46346</v>
      </c>
      <c r="L7" s="2" t="n">
        <f aca="false">IF(F7="FR","—",WORKDAY(A7,-3,Règles!$A$13:$A$34))</f>
        <v>46350</v>
      </c>
      <c r="M7" s="2" t="n">
        <f aca="false">WORKDAY(A7,-1,Règles!$A$13:$A$34)</f>
        <v>46352</v>
      </c>
      <c r="N7" s="7"/>
    </row>
    <row r="8" customFormat="false" ht="15" hidden="false" customHeight="false" outlineLevel="0" collapsed="false">
      <c r="A8" s="2" t="n">
        <v>46353</v>
      </c>
      <c r="B8" s="3" t="str">
        <f aca="false">CHOOSE(WEEKDAY(A8,2),"lundi","mardi","mercredi","jeudi","vendredi","samedi","dimanche")</f>
        <v>vendredi</v>
      </c>
      <c r="C8" s="3" t="s">
        <v>31</v>
      </c>
      <c r="D8" s="9" t="s">
        <v>26</v>
      </c>
      <c r="E8" s="3" t="s">
        <v>27</v>
      </c>
      <c r="F8" s="3" t="s">
        <v>28</v>
      </c>
      <c r="G8" s="5" t="s">
        <v>18</v>
      </c>
      <c r="H8" s="5"/>
      <c r="I8" s="6" t="s">
        <v>19</v>
      </c>
      <c r="J8" s="6"/>
      <c r="K8" s="2" t="n">
        <f aca="false">WORKDAY(A8,-5,Règles!$A$13:$A$34)</f>
        <v>46346</v>
      </c>
      <c r="L8" s="2" t="str">
        <f aca="false">IF(F8="FR","—",WORKDAY(A8,-3,Règles!$A$13:$A$34))</f>
        <v>—</v>
      </c>
      <c r="M8" s="2" t="n">
        <f aca="false">WORKDAY(A8,-1,Règles!$A$13:$A$34)</f>
        <v>46352</v>
      </c>
      <c r="N8" s="7"/>
    </row>
    <row r="9" customFormat="false" ht="15" hidden="false" customHeight="false" outlineLevel="0" collapsed="false">
      <c r="A9" s="2" t="n">
        <v>46356</v>
      </c>
      <c r="B9" s="3" t="str">
        <f aca="false">CHOOSE(WEEKDAY(A9,2),"lundi","mardi","mercredi","jeudi","vendredi","samedi","dimanche")</f>
        <v>lundi</v>
      </c>
      <c r="C9" s="3" t="s">
        <v>31</v>
      </c>
      <c r="D9" s="10" t="s">
        <v>29</v>
      </c>
      <c r="E9" s="3" t="s">
        <v>21</v>
      </c>
      <c r="F9" s="3" t="s">
        <v>22</v>
      </c>
      <c r="G9" s="5" t="s">
        <v>18</v>
      </c>
      <c r="H9" s="5"/>
      <c r="I9" s="6" t="s">
        <v>30</v>
      </c>
      <c r="J9" s="6"/>
      <c r="K9" s="2" t="n">
        <f aca="false">WORKDAY(A9,-5,Règles!$A$13:$A$34)</f>
        <v>46349</v>
      </c>
      <c r="L9" s="2" t="n">
        <f aca="false">IF(F9="FR","—",WORKDAY(A9,-3,Règles!$A$13:$A$34))</f>
        <v>46351</v>
      </c>
      <c r="M9" s="2" t="n">
        <f aca="false">WORKDAY(A9,-1,Règles!$A$13:$A$34)</f>
        <v>46353</v>
      </c>
      <c r="N9" s="7"/>
    </row>
    <row r="10" customFormat="false" ht="15" hidden="false" customHeight="false" outlineLevel="0" collapsed="false">
      <c r="A10" s="2" t="n">
        <v>46371</v>
      </c>
      <c r="B10" s="3" t="str">
        <f aca="false">CHOOSE(WEEKDAY(A10,2),"lundi","mardi","mercredi","jeudi","vendredi","samedi","dimanche")</f>
        <v>mardi</v>
      </c>
      <c r="C10" s="3" t="s">
        <v>33</v>
      </c>
      <c r="D10" s="4" t="s">
        <v>15</v>
      </c>
      <c r="E10" s="3" t="s">
        <v>16</v>
      </c>
      <c r="F10" s="3" t="s">
        <v>17</v>
      </c>
      <c r="G10" s="5" t="s">
        <v>18</v>
      </c>
      <c r="H10" s="5"/>
      <c r="I10" s="6" t="s">
        <v>19</v>
      </c>
      <c r="J10" s="6"/>
      <c r="K10" s="2" t="n">
        <f aca="false">WORKDAY(A10,-5,Règles!$A$13:$A$34)</f>
        <v>46363</v>
      </c>
      <c r="L10" s="2" t="n">
        <f aca="false">IF(F10="FR","—",WORKDAY(A10,-3,Règles!$A$13:$A$34))</f>
        <v>46366</v>
      </c>
      <c r="M10" s="2" t="n">
        <f aca="false">WORKDAY(A10,-1,Règles!$A$13:$A$34)</f>
        <v>46370</v>
      </c>
      <c r="N10" s="7"/>
    </row>
    <row r="11" customFormat="false" ht="26.85" hidden="false" customHeight="false" outlineLevel="0" collapsed="false">
      <c r="A11" s="2" t="n">
        <v>46374</v>
      </c>
      <c r="B11" s="3" t="str">
        <f aca="false">CHOOSE(WEEKDAY(A11,2),"lundi","mardi","mercredi","jeudi","vendredi","samedi","dimanche")</f>
        <v>vendredi</v>
      </c>
      <c r="C11" s="3" t="s">
        <v>33</v>
      </c>
      <c r="D11" s="8" t="s">
        <v>20</v>
      </c>
      <c r="E11" s="3" t="s">
        <v>21</v>
      </c>
      <c r="F11" s="3" t="s">
        <v>22</v>
      </c>
      <c r="G11" s="5" t="s">
        <v>18</v>
      </c>
      <c r="H11" s="5"/>
      <c r="I11" s="6" t="s">
        <v>19</v>
      </c>
      <c r="J11" s="6"/>
      <c r="K11" s="2" t="n">
        <f aca="false">WORKDAY(A11,-5,Règles!$A$13:$A$34)</f>
        <v>46367</v>
      </c>
      <c r="L11" s="2" t="n">
        <f aca="false">IF(F11="FR","—",WORKDAY(A11,-3,Règles!$A$13:$A$34))</f>
        <v>46371</v>
      </c>
      <c r="M11" s="2" t="n">
        <f aca="false">WORKDAY(A11,-1,Règles!$A$13:$A$34)</f>
        <v>46373</v>
      </c>
      <c r="N11" s="7" t="s">
        <v>34</v>
      </c>
    </row>
    <row r="12" customFormat="false" ht="26.85" hidden="false" customHeight="false" outlineLevel="0" collapsed="false">
      <c r="A12" s="2" t="n">
        <v>46374</v>
      </c>
      <c r="B12" s="3" t="str">
        <f aca="false">CHOOSE(WEEKDAY(A12,2),"lundi","mardi","mercredi","jeudi","vendredi","samedi","dimanche")</f>
        <v>vendredi</v>
      </c>
      <c r="C12" s="3" t="s">
        <v>33</v>
      </c>
      <c r="D12" s="9" t="s">
        <v>26</v>
      </c>
      <c r="E12" s="3" t="s">
        <v>27</v>
      </c>
      <c r="F12" s="3" t="s">
        <v>28</v>
      </c>
      <c r="G12" s="5" t="s">
        <v>18</v>
      </c>
      <c r="H12" s="5"/>
      <c r="I12" s="6" t="s">
        <v>19</v>
      </c>
      <c r="J12" s="6"/>
      <c r="K12" s="2" t="n">
        <f aca="false">WORKDAY(A12,-5,Règles!$A$13:$A$34)</f>
        <v>46367</v>
      </c>
      <c r="L12" s="2" t="str">
        <f aca="false">IF(F12="FR","—",WORKDAY(A12,-3,Règles!$A$13:$A$34))</f>
        <v>—</v>
      </c>
      <c r="M12" s="2" t="n">
        <f aca="false">WORKDAY(A12,-1,Règles!$A$13:$A$34)</f>
        <v>46373</v>
      </c>
      <c r="N12" s="7" t="s">
        <v>34</v>
      </c>
    </row>
    <row r="13" customFormat="false" ht="15" hidden="false" customHeight="false" outlineLevel="0" collapsed="false">
      <c r="A13" s="2" t="n">
        <v>46377</v>
      </c>
      <c r="B13" s="3" t="str">
        <f aca="false">CHOOSE(WEEKDAY(A13,2),"lundi","mardi","mercredi","jeudi","vendredi","samedi","dimanche")</f>
        <v>lundi</v>
      </c>
      <c r="C13" s="3" t="s">
        <v>33</v>
      </c>
      <c r="D13" s="10" t="s">
        <v>29</v>
      </c>
      <c r="E13" s="3" t="s">
        <v>21</v>
      </c>
      <c r="F13" s="3" t="s">
        <v>22</v>
      </c>
      <c r="G13" s="5" t="s">
        <v>18</v>
      </c>
      <c r="H13" s="5"/>
      <c r="I13" s="6" t="s">
        <v>30</v>
      </c>
      <c r="J13" s="6"/>
      <c r="K13" s="2" t="n">
        <f aca="false">WORKDAY(A13,-5,Règles!$A$13:$A$34)</f>
        <v>46370</v>
      </c>
      <c r="L13" s="2" t="n">
        <f aca="false">IF(F13="FR","—",WORKDAY(A13,-3,Règles!$A$13:$A$34))</f>
        <v>46372</v>
      </c>
      <c r="M13" s="2" t="n">
        <f aca="false">WORKDAY(A13,-1,Règles!$A$13:$A$34)</f>
        <v>46374</v>
      </c>
      <c r="N13" s="7"/>
    </row>
    <row r="14" customFormat="false" ht="15" hidden="false" customHeight="false" outlineLevel="0" collapsed="false">
      <c r="A14" s="2" t="n">
        <v>46402</v>
      </c>
      <c r="B14" s="3" t="str">
        <f aca="false">CHOOSE(WEEKDAY(A14,2),"lundi","mardi","mercredi","jeudi","vendredi","samedi","dimanche")</f>
        <v>vendredi</v>
      </c>
      <c r="C14" s="3" t="s">
        <v>35</v>
      </c>
      <c r="D14" s="4" t="s">
        <v>15</v>
      </c>
      <c r="E14" s="3" t="s">
        <v>16</v>
      </c>
      <c r="F14" s="3" t="s">
        <v>17</v>
      </c>
      <c r="G14" s="5" t="s">
        <v>18</v>
      </c>
      <c r="H14" s="5"/>
      <c r="I14" s="6" t="s">
        <v>19</v>
      </c>
      <c r="J14" s="6"/>
      <c r="K14" s="2" t="n">
        <f aca="false">WORKDAY(A14,-5,Règles!$A$13:$A$34)</f>
        <v>46395</v>
      </c>
      <c r="L14" s="2" t="n">
        <f aca="false">IF(F14="FR","—",WORKDAY(A14,-3,Règles!$A$13:$A$34))</f>
        <v>46399</v>
      </c>
      <c r="M14" s="2" t="n">
        <f aca="false">WORKDAY(A14,-1,Règles!$A$13:$A$34)</f>
        <v>46401</v>
      </c>
      <c r="N14" s="7"/>
    </row>
    <row r="15" customFormat="false" ht="15" hidden="false" customHeight="false" outlineLevel="0" collapsed="false">
      <c r="A15" s="2" t="n">
        <v>46416</v>
      </c>
      <c r="B15" s="3" t="str">
        <f aca="false">CHOOSE(WEEKDAY(A15,2),"lundi","mardi","mercredi","jeudi","vendredi","samedi","dimanche")</f>
        <v>vendredi</v>
      </c>
      <c r="C15" s="3" t="s">
        <v>35</v>
      </c>
      <c r="D15" s="8" t="s">
        <v>20</v>
      </c>
      <c r="E15" s="3" t="s">
        <v>21</v>
      </c>
      <c r="F15" s="3" t="s">
        <v>22</v>
      </c>
      <c r="G15" s="5" t="s">
        <v>18</v>
      </c>
      <c r="H15" s="5"/>
      <c r="I15" s="6" t="s">
        <v>19</v>
      </c>
      <c r="J15" s="6"/>
      <c r="K15" s="2" t="n">
        <f aca="false">WORKDAY(A15,-5,Règles!$A$13:$A$34)</f>
        <v>46409</v>
      </c>
      <c r="L15" s="2" t="n">
        <f aca="false">IF(F15="FR","—",WORKDAY(A15,-3,Règles!$A$13:$A$34))</f>
        <v>46413</v>
      </c>
      <c r="M15" s="2" t="n">
        <f aca="false">WORKDAY(A15,-1,Règles!$A$13:$A$34)</f>
        <v>46415</v>
      </c>
      <c r="N15" s="7"/>
    </row>
    <row r="16" customFormat="false" ht="15" hidden="false" customHeight="false" outlineLevel="0" collapsed="false">
      <c r="A16" s="2" t="n">
        <v>46416</v>
      </c>
      <c r="B16" s="3" t="str">
        <f aca="false">CHOOSE(WEEKDAY(A16,2),"lundi","mardi","mercredi","jeudi","vendredi","samedi","dimanche")</f>
        <v>vendredi</v>
      </c>
      <c r="C16" s="3" t="s">
        <v>35</v>
      </c>
      <c r="D16" s="9" t="s">
        <v>26</v>
      </c>
      <c r="E16" s="3" t="s">
        <v>27</v>
      </c>
      <c r="F16" s="3" t="s">
        <v>28</v>
      </c>
      <c r="G16" s="5" t="s">
        <v>18</v>
      </c>
      <c r="H16" s="5"/>
      <c r="I16" s="6" t="s">
        <v>19</v>
      </c>
      <c r="J16" s="6"/>
      <c r="K16" s="2" t="n">
        <f aca="false">WORKDAY(A16,-5,Règles!$A$13:$A$34)</f>
        <v>46409</v>
      </c>
      <c r="L16" s="2" t="str">
        <f aca="false">IF(F16="FR","—",WORKDAY(A16,-3,Règles!$A$13:$A$34))</f>
        <v>—</v>
      </c>
      <c r="M16" s="2" t="n">
        <f aca="false">WORKDAY(A16,-1,Règles!$A$13:$A$34)</f>
        <v>46415</v>
      </c>
      <c r="N16" s="7"/>
    </row>
    <row r="17" customFormat="false" ht="15" hidden="false" customHeight="false" outlineLevel="0" collapsed="false">
      <c r="A17" s="2" t="n">
        <v>46419</v>
      </c>
      <c r="B17" s="3" t="str">
        <f aca="false">CHOOSE(WEEKDAY(A17,2),"lundi","mardi","mercredi","jeudi","vendredi","samedi","dimanche")</f>
        <v>lundi</v>
      </c>
      <c r="C17" s="3" t="s">
        <v>35</v>
      </c>
      <c r="D17" s="10" t="s">
        <v>29</v>
      </c>
      <c r="E17" s="3" t="s">
        <v>21</v>
      </c>
      <c r="F17" s="3" t="s">
        <v>22</v>
      </c>
      <c r="G17" s="5" t="s">
        <v>18</v>
      </c>
      <c r="H17" s="5"/>
      <c r="I17" s="6" t="s">
        <v>30</v>
      </c>
      <c r="J17" s="6"/>
      <c r="K17" s="2" t="n">
        <f aca="false">WORKDAY(A17,-5,Règles!$A$13:$A$34)</f>
        <v>46412</v>
      </c>
      <c r="L17" s="2" t="n">
        <f aca="false">IF(F17="FR","—",WORKDAY(A17,-3,Règles!$A$13:$A$34))</f>
        <v>46414</v>
      </c>
      <c r="M17" s="2" t="n">
        <f aca="false">WORKDAY(A17,-1,Règles!$A$13:$A$34)</f>
        <v>46416</v>
      </c>
      <c r="N17" s="7"/>
    </row>
    <row r="18" customFormat="false" ht="15" hidden="false" customHeight="false" outlineLevel="0" collapsed="false">
      <c r="A18" s="2" t="n">
        <v>46433</v>
      </c>
      <c r="B18" s="3" t="str">
        <f aca="false">CHOOSE(WEEKDAY(A18,2),"lundi","mardi","mercredi","jeudi","vendredi","samedi","dimanche")</f>
        <v>lundi</v>
      </c>
      <c r="C18" s="3" t="s">
        <v>36</v>
      </c>
      <c r="D18" s="4" t="s">
        <v>15</v>
      </c>
      <c r="E18" s="3" t="s">
        <v>16</v>
      </c>
      <c r="F18" s="3" t="s">
        <v>17</v>
      </c>
      <c r="G18" s="5" t="s">
        <v>18</v>
      </c>
      <c r="H18" s="5"/>
      <c r="I18" s="6" t="s">
        <v>19</v>
      </c>
      <c r="J18" s="6"/>
      <c r="K18" s="2" t="n">
        <f aca="false">WORKDAY(A18,-5,Règles!$A$13:$A$34)</f>
        <v>46426</v>
      </c>
      <c r="L18" s="2" t="n">
        <f aca="false">IF(F18="FR","—",WORKDAY(A18,-3,Règles!$A$13:$A$34))</f>
        <v>46428</v>
      </c>
      <c r="M18" s="2" t="n">
        <f aca="false">WORKDAY(A18,-1,Règles!$A$13:$A$34)</f>
        <v>46430</v>
      </c>
      <c r="N18" s="7"/>
    </row>
    <row r="19" customFormat="false" ht="15" hidden="false" customHeight="false" outlineLevel="0" collapsed="false">
      <c r="A19" s="2" t="n">
        <v>46444</v>
      </c>
      <c r="B19" s="3" t="str">
        <f aca="false">CHOOSE(WEEKDAY(A19,2),"lundi","mardi","mercredi","jeudi","vendredi","samedi","dimanche")</f>
        <v>vendredi</v>
      </c>
      <c r="C19" s="3" t="s">
        <v>36</v>
      </c>
      <c r="D19" s="8" t="s">
        <v>20</v>
      </c>
      <c r="E19" s="3" t="s">
        <v>21</v>
      </c>
      <c r="F19" s="3" t="s">
        <v>22</v>
      </c>
      <c r="G19" s="5" t="s">
        <v>18</v>
      </c>
      <c r="H19" s="5"/>
      <c r="I19" s="6" t="s">
        <v>19</v>
      </c>
      <c r="J19" s="6"/>
      <c r="K19" s="2" t="n">
        <f aca="false">WORKDAY(A19,-5,Règles!$A$13:$A$34)</f>
        <v>46437</v>
      </c>
      <c r="L19" s="2" t="n">
        <f aca="false">IF(F19="FR","—",WORKDAY(A19,-3,Règles!$A$13:$A$34))</f>
        <v>46441</v>
      </c>
      <c r="M19" s="2" t="n">
        <f aca="false">WORKDAY(A19,-1,Règles!$A$13:$A$34)</f>
        <v>46443</v>
      </c>
      <c r="N19" s="7"/>
    </row>
    <row r="20" customFormat="false" ht="15" hidden="false" customHeight="false" outlineLevel="0" collapsed="false">
      <c r="A20" s="2" t="n">
        <v>46444</v>
      </c>
      <c r="B20" s="3" t="str">
        <f aca="false">CHOOSE(WEEKDAY(A20,2),"lundi","mardi","mercredi","jeudi","vendredi","samedi","dimanche")</f>
        <v>vendredi</v>
      </c>
      <c r="C20" s="3" t="s">
        <v>36</v>
      </c>
      <c r="D20" s="9" t="s">
        <v>26</v>
      </c>
      <c r="E20" s="3" t="s">
        <v>27</v>
      </c>
      <c r="F20" s="3" t="s">
        <v>28</v>
      </c>
      <c r="G20" s="5" t="s">
        <v>18</v>
      </c>
      <c r="H20" s="5"/>
      <c r="I20" s="6" t="s">
        <v>19</v>
      </c>
      <c r="J20" s="6"/>
      <c r="K20" s="2" t="n">
        <f aca="false">WORKDAY(A20,-5,Règles!$A$13:$A$34)</f>
        <v>46437</v>
      </c>
      <c r="L20" s="2" t="str">
        <f aca="false">IF(F20="FR","—",WORKDAY(A20,-3,Règles!$A$13:$A$34))</f>
        <v>—</v>
      </c>
      <c r="M20" s="2" t="n">
        <f aca="false">WORKDAY(A20,-1,Règles!$A$13:$A$34)</f>
        <v>46443</v>
      </c>
      <c r="N20" s="7"/>
    </row>
    <row r="21" customFormat="false" ht="15" hidden="false" customHeight="false" outlineLevel="0" collapsed="false">
      <c r="A21" s="2" t="n">
        <v>46447</v>
      </c>
      <c r="B21" s="3" t="str">
        <f aca="false">CHOOSE(WEEKDAY(A21,2),"lundi","mardi","mercredi","jeudi","vendredi","samedi","dimanche")</f>
        <v>lundi</v>
      </c>
      <c r="C21" s="3" t="s">
        <v>36</v>
      </c>
      <c r="D21" s="10" t="s">
        <v>29</v>
      </c>
      <c r="E21" s="3" t="s">
        <v>21</v>
      </c>
      <c r="F21" s="3" t="s">
        <v>22</v>
      </c>
      <c r="G21" s="5" t="s">
        <v>18</v>
      </c>
      <c r="H21" s="5"/>
      <c r="I21" s="6" t="s">
        <v>30</v>
      </c>
      <c r="J21" s="6"/>
      <c r="K21" s="2" t="n">
        <f aca="false">WORKDAY(A21,-5,Règles!$A$13:$A$34)</f>
        <v>46440</v>
      </c>
      <c r="L21" s="2" t="n">
        <f aca="false">IF(F21="FR","—",WORKDAY(A21,-3,Règles!$A$13:$A$34))</f>
        <v>46442</v>
      </c>
      <c r="M21" s="2" t="n">
        <f aca="false">WORKDAY(A21,-1,Règles!$A$13:$A$34)</f>
        <v>46444</v>
      </c>
      <c r="N21" s="7"/>
    </row>
    <row r="22" customFormat="false" ht="15" hidden="false" customHeight="false" outlineLevel="0" collapsed="false">
      <c r="A22" s="2" t="n">
        <v>46461</v>
      </c>
      <c r="B22" s="3" t="str">
        <f aca="false">CHOOSE(WEEKDAY(A22,2),"lundi","mardi","mercredi","jeudi","vendredi","samedi","dimanche")</f>
        <v>lundi</v>
      </c>
      <c r="C22" s="3" t="s">
        <v>37</v>
      </c>
      <c r="D22" s="4" t="s">
        <v>15</v>
      </c>
      <c r="E22" s="3" t="s">
        <v>16</v>
      </c>
      <c r="F22" s="3" t="s">
        <v>17</v>
      </c>
      <c r="G22" s="5" t="s">
        <v>18</v>
      </c>
      <c r="H22" s="5"/>
      <c r="I22" s="6" t="s">
        <v>19</v>
      </c>
      <c r="J22" s="6"/>
      <c r="K22" s="2" t="n">
        <f aca="false">WORKDAY(A22,-5,Règles!$A$13:$A$34)</f>
        <v>46454</v>
      </c>
      <c r="L22" s="2" t="n">
        <f aca="false">IF(F22="FR","—",WORKDAY(A22,-3,Règles!$A$13:$A$34))</f>
        <v>46456</v>
      </c>
      <c r="M22" s="2" t="n">
        <f aca="false">WORKDAY(A22,-1,Règles!$A$13:$A$34)</f>
        <v>46458</v>
      </c>
      <c r="N22" s="7"/>
    </row>
    <row r="23" customFormat="false" ht="26.85" hidden="false" customHeight="false" outlineLevel="0" collapsed="false">
      <c r="A23" s="2" t="n">
        <v>46472</v>
      </c>
      <c r="B23" s="3" t="str">
        <f aca="false">CHOOSE(WEEKDAY(A23,2),"lundi","mardi","mercredi","jeudi","vendredi","samedi","dimanche")</f>
        <v>vendredi</v>
      </c>
      <c r="C23" s="3" t="s">
        <v>37</v>
      </c>
      <c r="D23" s="8" t="s">
        <v>20</v>
      </c>
      <c r="E23" s="3" t="s">
        <v>21</v>
      </c>
      <c r="F23" s="3" t="s">
        <v>22</v>
      </c>
      <c r="G23" s="5" t="s">
        <v>18</v>
      </c>
      <c r="H23" s="5"/>
      <c r="I23" s="6" t="s">
        <v>19</v>
      </c>
      <c r="J23" s="6"/>
      <c r="K23" s="2" t="n">
        <f aca="false">WORKDAY(A23,-5,Règles!$A$13:$A$34)</f>
        <v>46465</v>
      </c>
      <c r="L23" s="2" t="n">
        <f aca="false">IF(F23="FR","—",WORKDAY(A23,-3,Règles!$A$13:$A$34))</f>
        <v>46469</v>
      </c>
      <c r="M23" s="2" t="n">
        <f aca="false">WORKDAY(A23,-1,Règles!$A$13:$A$34)</f>
        <v>46471</v>
      </c>
      <c r="N23" s="7" t="s">
        <v>38</v>
      </c>
    </row>
    <row r="24" customFormat="false" ht="26.85" hidden="false" customHeight="false" outlineLevel="0" collapsed="false">
      <c r="A24" s="2" t="n">
        <v>46472</v>
      </c>
      <c r="B24" s="3" t="str">
        <f aca="false">CHOOSE(WEEKDAY(A24,2),"lundi","mardi","mercredi","jeudi","vendredi","samedi","dimanche")</f>
        <v>vendredi</v>
      </c>
      <c r="C24" s="3" t="s">
        <v>37</v>
      </c>
      <c r="D24" s="9" t="s">
        <v>26</v>
      </c>
      <c r="E24" s="3" t="s">
        <v>27</v>
      </c>
      <c r="F24" s="3" t="s">
        <v>28</v>
      </c>
      <c r="G24" s="5" t="s">
        <v>18</v>
      </c>
      <c r="H24" s="5"/>
      <c r="I24" s="6" t="s">
        <v>19</v>
      </c>
      <c r="J24" s="6"/>
      <c r="K24" s="2" t="n">
        <f aca="false">WORKDAY(A24,-5,Règles!$A$13:$A$34)</f>
        <v>46465</v>
      </c>
      <c r="L24" s="2" t="str">
        <f aca="false">IF(F24="FR","—",WORKDAY(A24,-3,Règles!$A$13:$A$34))</f>
        <v>—</v>
      </c>
      <c r="M24" s="2" t="n">
        <f aca="false">WORKDAY(A24,-1,Règles!$A$13:$A$34)</f>
        <v>46471</v>
      </c>
      <c r="N24" s="7" t="s">
        <v>38</v>
      </c>
    </row>
    <row r="25" customFormat="false" ht="15" hidden="false" customHeight="false" outlineLevel="0" collapsed="false">
      <c r="A25" s="2" t="n">
        <v>46476</v>
      </c>
      <c r="B25" s="3" t="str">
        <f aca="false">CHOOSE(WEEKDAY(A25,2),"lundi","mardi","mercredi","jeudi","vendredi","samedi","dimanche")</f>
        <v>mardi</v>
      </c>
      <c r="C25" s="3" t="s">
        <v>37</v>
      </c>
      <c r="D25" s="10" t="s">
        <v>29</v>
      </c>
      <c r="E25" s="3" t="s">
        <v>21</v>
      </c>
      <c r="F25" s="3" t="s">
        <v>22</v>
      </c>
      <c r="G25" s="5" t="s">
        <v>18</v>
      </c>
      <c r="H25" s="5"/>
      <c r="I25" s="6" t="s">
        <v>30</v>
      </c>
      <c r="J25" s="6"/>
      <c r="K25" s="2" t="n">
        <f aca="false">WORKDAY(A25,-5,Règles!$A$13:$A$34)</f>
        <v>46468</v>
      </c>
      <c r="L25" s="2" t="n">
        <f aca="false">IF(F25="FR","—",WORKDAY(A25,-3,Règles!$A$13:$A$34))</f>
        <v>46470</v>
      </c>
      <c r="M25" s="2" t="n">
        <f aca="false">WORKDAY(A25,-1,Règles!$A$13:$A$34)</f>
        <v>46472</v>
      </c>
      <c r="N25" s="7" t="s">
        <v>39</v>
      </c>
    </row>
    <row r="26" customFormat="false" ht="15" hidden="false" customHeight="false" outlineLevel="0" collapsed="false">
      <c r="A26" s="2" t="n">
        <v>46492</v>
      </c>
      <c r="B26" s="3" t="str">
        <f aca="false">CHOOSE(WEEKDAY(A26,2),"lundi","mardi","mercredi","jeudi","vendredi","samedi","dimanche")</f>
        <v>jeudi</v>
      </c>
      <c r="C26" s="3" t="s">
        <v>40</v>
      </c>
      <c r="D26" s="4" t="s">
        <v>15</v>
      </c>
      <c r="E26" s="3" t="s">
        <v>16</v>
      </c>
      <c r="F26" s="3" t="s">
        <v>17</v>
      </c>
      <c r="G26" s="5" t="s">
        <v>18</v>
      </c>
      <c r="H26" s="5"/>
      <c r="I26" s="6" t="s">
        <v>19</v>
      </c>
      <c r="J26" s="6"/>
      <c r="K26" s="2" t="n">
        <f aca="false">WORKDAY(A26,-5,Règles!$A$13:$A$34)</f>
        <v>46485</v>
      </c>
      <c r="L26" s="2" t="n">
        <f aca="false">IF(F26="FR","—",WORKDAY(A26,-3,Règles!$A$13:$A$34))</f>
        <v>46489</v>
      </c>
      <c r="M26" s="2" t="n">
        <f aca="false">WORKDAY(A26,-1,Règles!$A$13:$A$34)</f>
        <v>46491</v>
      </c>
      <c r="N26" s="7"/>
    </row>
    <row r="27" customFormat="false" ht="15" hidden="false" customHeight="false" outlineLevel="0" collapsed="false">
      <c r="A27" s="2" t="n">
        <v>46507</v>
      </c>
      <c r="B27" s="3" t="str">
        <f aca="false">CHOOSE(WEEKDAY(A27,2),"lundi","mardi","mercredi","jeudi","vendredi","samedi","dimanche")</f>
        <v>vendredi</v>
      </c>
      <c r="C27" s="3" t="s">
        <v>40</v>
      </c>
      <c r="D27" s="8" t="s">
        <v>20</v>
      </c>
      <c r="E27" s="3" t="s">
        <v>21</v>
      </c>
      <c r="F27" s="3" t="s">
        <v>22</v>
      </c>
      <c r="G27" s="5" t="s">
        <v>18</v>
      </c>
      <c r="H27" s="5"/>
      <c r="I27" s="6" t="s">
        <v>19</v>
      </c>
      <c r="J27" s="6"/>
      <c r="K27" s="2" t="n">
        <f aca="false">WORKDAY(A27,-5,Règles!$A$13:$A$34)</f>
        <v>46500</v>
      </c>
      <c r="L27" s="2" t="n">
        <f aca="false">IF(F27="FR","—",WORKDAY(A27,-3,Règles!$A$13:$A$34))</f>
        <v>46504</v>
      </c>
      <c r="M27" s="2" t="n">
        <f aca="false">WORKDAY(A27,-1,Règles!$A$13:$A$34)</f>
        <v>46506</v>
      </c>
      <c r="N27" s="7"/>
    </row>
    <row r="28" customFormat="false" ht="15" hidden="false" customHeight="false" outlineLevel="0" collapsed="false">
      <c r="A28" s="2" t="n">
        <v>46507</v>
      </c>
      <c r="B28" s="3" t="str">
        <f aca="false">CHOOSE(WEEKDAY(A28,2),"lundi","mardi","mercredi","jeudi","vendredi","samedi","dimanche")</f>
        <v>vendredi</v>
      </c>
      <c r="C28" s="3" t="s">
        <v>40</v>
      </c>
      <c r="D28" s="9" t="s">
        <v>26</v>
      </c>
      <c r="E28" s="3" t="s">
        <v>27</v>
      </c>
      <c r="F28" s="3" t="s">
        <v>28</v>
      </c>
      <c r="G28" s="5" t="s">
        <v>18</v>
      </c>
      <c r="H28" s="5"/>
      <c r="I28" s="6" t="s">
        <v>19</v>
      </c>
      <c r="J28" s="6"/>
      <c r="K28" s="2" t="n">
        <f aca="false">WORKDAY(A28,-5,Règles!$A$13:$A$34)</f>
        <v>46500</v>
      </c>
      <c r="L28" s="2" t="str">
        <f aca="false">IF(F28="FR","—",WORKDAY(A28,-3,Règles!$A$13:$A$34))</f>
        <v>—</v>
      </c>
      <c r="M28" s="2" t="n">
        <f aca="false">WORKDAY(A28,-1,Règles!$A$13:$A$34)</f>
        <v>46506</v>
      </c>
      <c r="N28" s="7"/>
    </row>
    <row r="29" customFormat="false" ht="15" hidden="false" customHeight="false" outlineLevel="0" collapsed="false">
      <c r="A29" s="2" t="n">
        <v>46510</v>
      </c>
      <c r="B29" s="3" t="str">
        <f aca="false">CHOOSE(WEEKDAY(A29,2),"lundi","mardi","mercredi","jeudi","vendredi","samedi","dimanche")</f>
        <v>lundi</v>
      </c>
      <c r="C29" s="3" t="s">
        <v>40</v>
      </c>
      <c r="D29" s="10" t="s">
        <v>29</v>
      </c>
      <c r="E29" s="3" t="s">
        <v>21</v>
      </c>
      <c r="F29" s="3" t="s">
        <v>22</v>
      </c>
      <c r="G29" s="5" t="s">
        <v>18</v>
      </c>
      <c r="H29" s="5"/>
      <c r="I29" s="6" t="s">
        <v>30</v>
      </c>
      <c r="J29" s="6"/>
      <c r="K29" s="2" t="n">
        <f aca="false">WORKDAY(A29,-5,Règles!$A$13:$A$34)</f>
        <v>46503</v>
      </c>
      <c r="L29" s="2" t="n">
        <f aca="false">IF(F29="FR","—",WORKDAY(A29,-3,Règles!$A$13:$A$34))</f>
        <v>46505</v>
      </c>
      <c r="M29" s="2" t="n">
        <f aca="false">WORKDAY(A29,-1,Règles!$A$13:$A$34)</f>
        <v>46507</v>
      </c>
      <c r="N29" s="7"/>
    </row>
    <row r="30" customFormat="false" ht="15" hidden="false" customHeight="false" outlineLevel="0" collapsed="false">
      <c r="A30" s="2" t="n">
        <v>46521</v>
      </c>
      <c r="B30" s="3" t="str">
        <f aca="false">CHOOSE(WEEKDAY(A30,2),"lundi","mardi","mercredi","jeudi","vendredi","samedi","dimanche")</f>
        <v>vendredi</v>
      </c>
      <c r="C30" s="3" t="s">
        <v>41</v>
      </c>
      <c r="D30" s="4" t="s">
        <v>15</v>
      </c>
      <c r="E30" s="3" t="s">
        <v>16</v>
      </c>
      <c r="F30" s="3" t="s">
        <v>17</v>
      </c>
      <c r="G30" s="5" t="s">
        <v>18</v>
      </c>
      <c r="H30" s="5"/>
      <c r="I30" s="6" t="s">
        <v>19</v>
      </c>
      <c r="J30" s="6"/>
      <c r="K30" s="2" t="n">
        <f aca="false">WORKDAY(A30,-5,Règles!$A$13:$A$34)</f>
        <v>46514</v>
      </c>
      <c r="L30" s="2" t="n">
        <f aca="false">IF(F30="FR","—",WORKDAY(A30,-3,Règles!$A$13:$A$34))</f>
        <v>46518</v>
      </c>
      <c r="M30" s="2" t="n">
        <f aca="false">WORKDAY(A30,-1,Règles!$A$13:$A$34)</f>
        <v>46520</v>
      </c>
      <c r="N30" s="7" t="s">
        <v>42</v>
      </c>
    </row>
    <row r="31" customFormat="false" ht="15" hidden="false" customHeight="false" outlineLevel="0" collapsed="false">
      <c r="A31" s="2" t="n">
        <v>46535</v>
      </c>
      <c r="B31" s="3" t="str">
        <f aca="false">CHOOSE(WEEKDAY(A31,2),"lundi","mardi","mercredi","jeudi","vendredi","samedi","dimanche")</f>
        <v>vendredi</v>
      </c>
      <c r="C31" s="3" t="s">
        <v>41</v>
      </c>
      <c r="D31" s="8" t="s">
        <v>20</v>
      </c>
      <c r="E31" s="3" t="s">
        <v>21</v>
      </c>
      <c r="F31" s="3" t="s">
        <v>22</v>
      </c>
      <c r="G31" s="5" t="s">
        <v>18</v>
      </c>
      <c r="H31" s="5"/>
      <c r="I31" s="6" t="s">
        <v>19</v>
      </c>
      <c r="J31" s="6"/>
      <c r="K31" s="2" t="n">
        <f aca="false">WORKDAY(A31,-5,Règles!$A$13:$A$34)</f>
        <v>46528</v>
      </c>
      <c r="L31" s="2" t="n">
        <f aca="false">IF(F31="FR","—",WORKDAY(A31,-3,Règles!$A$13:$A$34))</f>
        <v>46532</v>
      </c>
      <c r="M31" s="2" t="n">
        <f aca="false">WORKDAY(A31,-1,Règles!$A$13:$A$34)</f>
        <v>46534</v>
      </c>
      <c r="N31" s="7"/>
    </row>
    <row r="32" customFormat="false" ht="15" hidden="false" customHeight="false" outlineLevel="0" collapsed="false">
      <c r="A32" s="2" t="n">
        <v>46535</v>
      </c>
      <c r="B32" s="3" t="str">
        <f aca="false">CHOOSE(WEEKDAY(A32,2),"lundi","mardi","mercredi","jeudi","vendredi","samedi","dimanche")</f>
        <v>vendredi</v>
      </c>
      <c r="C32" s="3" t="s">
        <v>41</v>
      </c>
      <c r="D32" s="9" t="s">
        <v>26</v>
      </c>
      <c r="E32" s="3" t="s">
        <v>27</v>
      </c>
      <c r="F32" s="3" t="s">
        <v>28</v>
      </c>
      <c r="G32" s="5" t="s">
        <v>18</v>
      </c>
      <c r="H32" s="5"/>
      <c r="I32" s="6" t="s">
        <v>19</v>
      </c>
      <c r="J32" s="6"/>
      <c r="K32" s="2" t="n">
        <f aca="false">WORKDAY(A32,-5,Règles!$A$13:$A$34)</f>
        <v>46528</v>
      </c>
      <c r="L32" s="2" t="str">
        <f aca="false">IF(F32="FR","—",WORKDAY(A32,-3,Règles!$A$13:$A$34))</f>
        <v>—</v>
      </c>
      <c r="M32" s="2" t="n">
        <f aca="false">WORKDAY(A32,-1,Règles!$A$13:$A$34)</f>
        <v>46534</v>
      </c>
      <c r="N32" s="7"/>
    </row>
    <row r="33" customFormat="false" ht="15" hidden="false" customHeight="false" outlineLevel="0" collapsed="false">
      <c r="A33" s="2" t="n">
        <v>46538</v>
      </c>
      <c r="B33" s="3" t="str">
        <f aca="false">CHOOSE(WEEKDAY(A33,2),"lundi","mardi","mercredi","jeudi","vendredi","samedi","dimanche")</f>
        <v>lundi</v>
      </c>
      <c r="C33" s="3" t="s">
        <v>41</v>
      </c>
      <c r="D33" s="10" t="s">
        <v>29</v>
      </c>
      <c r="E33" s="3" t="s">
        <v>21</v>
      </c>
      <c r="F33" s="3" t="s">
        <v>22</v>
      </c>
      <c r="G33" s="5" t="s">
        <v>18</v>
      </c>
      <c r="H33" s="5"/>
      <c r="I33" s="6" t="s">
        <v>30</v>
      </c>
      <c r="J33" s="6"/>
      <c r="K33" s="2" t="n">
        <f aca="false">WORKDAY(A33,-5,Règles!$A$13:$A$34)</f>
        <v>46531</v>
      </c>
      <c r="L33" s="2" t="n">
        <f aca="false">IF(F33="FR","—",WORKDAY(A33,-3,Règles!$A$13:$A$34))</f>
        <v>46533</v>
      </c>
      <c r="M33" s="2" t="n">
        <f aca="false">WORKDAY(A33,-1,Règles!$A$13:$A$34)</f>
        <v>46535</v>
      </c>
      <c r="N33" s="7"/>
    </row>
    <row r="34" customFormat="false" ht="15" hidden="false" customHeight="false" outlineLevel="0" collapsed="false">
      <c r="A34" s="2" t="n">
        <v>46553</v>
      </c>
      <c r="B34" s="3" t="str">
        <f aca="false">CHOOSE(WEEKDAY(A34,2),"lundi","mardi","mercredi","jeudi","vendredi","samedi","dimanche")</f>
        <v>mardi</v>
      </c>
      <c r="C34" s="3" t="s">
        <v>43</v>
      </c>
      <c r="D34" s="4" t="s">
        <v>15</v>
      </c>
      <c r="E34" s="3" t="s">
        <v>16</v>
      </c>
      <c r="F34" s="3" t="s">
        <v>17</v>
      </c>
      <c r="G34" s="5" t="s">
        <v>18</v>
      </c>
      <c r="H34" s="5"/>
      <c r="I34" s="6" t="s">
        <v>19</v>
      </c>
      <c r="J34" s="6"/>
      <c r="K34" s="2" t="n">
        <f aca="false">WORKDAY(A34,-5,Règles!$A$13:$A$34)</f>
        <v>46546</v>
      </c>
      <c r="L34" s="2" t="n">
        <f aca="false">IF(F34="FR","—",WORKDAY(A34,-3,Règles!$A$13:$A$34))</f>
        <v>46548</v>
      </c>
      <c r="M34" s="2" t="n">
        <f aca="false">WORKDAY(A34,-1,Règles!$A$13:$A$34)</f>
        <v>46552</v>
      </c>
      <c r="N34" s="7"/>
    </row>
    <row r="35" customFormat="false" ht="15" hidden="false" customHeight="false" outlineLevel="0" collapsed="false">
      <c r="A35" s="2" t="n">
        <v>46563</v>
      </c>
      <c r="B35" s="3" t="str">
        <f aca="false">CHOOSE(WEEKDAY(A35,2),"lundi","mardi","mercredi","jeudi","vendredi","samedi","dimanche")</f>
        <v>vendredi</v>
      </c>
      <c r="C35" s="3" t="s">
        <v>43</v>
      </c>
      <c r="D35" s="8" t="s">
        <v>20</v>
      </c>
      <c r="E35" s="3" t="s">
        <v>21</v>
      </c>
      <c r="F35" s="3" t="s">
        <v>22</v>
      </c>
      <c r="G35" s="5" t="s">
        <v>18</v>
      </c>
      <c r="H35" s="5"/>
      <c r="I35" s="6" t="s">
        <v>19</v>
      </c>
      <c r="J35" s="6"/>
      <c r="K35" s="2" t="n">
        <f aca="false">WORKDAY(A35,-5,Règles!$A$13:$A$34)</f>
        <v>46556</v>
      </c>
      <c r="L35" s="2" t="n">
        <f aca="false">IF(F35="FR","—",WORKDAY(A35,-3,Règles!$A$13:$A$34))</f>
        <v>46560</v>
      </c>
      <c r="M35" s="2" t="n">
        <f aca="false">WORKDAY(A35,-1,Règles!$A$13:$A$34)</f>
        <v>46562</v>
      </c>
      <c r="N35" s="7"/>
    </row>
    <row r="36" customFormat="false" ht="15" hidden="false" customHeight="false" outlineLevel="0" collapsed="false">
      <c r="A36" s="2" t="n">
        <v>46563</v>
      </c>
      <c r="B36" s="3" t="str">
        <f aca="false">CHOOSE(WEEKDAY(A36,2),"lundi","mardi","mercredi","jeudi","vendredi","samedi","dimanche")</f>
        <v>vendredi</v>
      </c>
      <c r="C36" s="3" t="s">
        <v>43</v>
      </c>
      <c r="D36" s="9" t="s">
        <v>26</v>
      </c>
      <c r="E36" s="3" t="s">
        <v>27</v>
      </c>
      <c r="F36" s="3" t="s">
        <v>28</v>
      </c>
      <c r="G36" s="5" t="s">
        <v>18</v>
      </c>
      <c r="H36" s="5"/>
      <c r="I36" s="6" t="s">
        <v>19</v>
      </c>
      <c r="J36" s="6"/>
      <c r="K36" s="2" t="n">
        <f aca="false">WORKDAY(A36,-5,Règles!$A$13:$A$34)</f>
        <v>46556</v>
      </c>
      <c r="L36" s="2" t="str">
        <f aca="false">IF(F36="FR","—",WORKDAY(A36,-3,Règles!$A$13:$A$34))</f>
        <v>—</v>
      </c>
      <c r="M36" s="2" t="n">
        <f aca="false">WORKDAY(A36,-1,Règles!$A$13:$A$34)</f>
        <v>46562</v>
      </c>
      <c r="N36" s="7"/>
    </row>
    <row r="37" customFormat="false" ht="15" hidden="false" customHeight="false" outlineLevel="0" collapsed="false">
      <c r="A37" s="2" t="n">
        <v>46566</v>
      </c>
      <c r="B37" s="3" t="str">
        <f aca="false">CHOOSE(WEEKDAY(A37,2),"lundi","mardi","mercredi","jeudi","vendredi","samedi","dimanche")</f>
        <v>lundi</v>
      </c>
      <c r="C37" s="3" t="s">
        <v>43</v>
      </c>
      <c r="D37" s="10" t="s">
        <v>29</v>
      </c>
      <c r="E37" s="3" t="s">
        <v>21</v>
      </c>
      <c r="F37" s="3" t="s">
        <v>22</v>
      </c>
      <c r="G37" s="5" t="s">
        <v>18</v>
      </c>
      <c r="H37" s="5"/>
      <c r="I37" s="6" t="s">
        <v>30</v>
      </c>
      <c r="J37" s="6"/>
      <c r="K37" s="2" t="n">
        <f aca="false">WORKDAY(A37,-5,Règles!$A$13:$A$34)</f>
        <v>46559</v>
      </c>
      <c r="L37" s="2" t="n">
        <f aca="false">IF(F37="FR","—",WORKDAY(A37,-3,Règles!$A$13:$A$34))</f>
        <v>46561</v>
      </c>
      <c r="M37" s="2" t="n">
        <f aca="false">WORKDAY(A37,-1,Règles!$A$13:$A$34)</f>
        <v>46563</v>
      </c>
      <c r="N37" s="7"/>
    </row>
    <row r="38" customFormat="false" ht="15" hidden="false" customHeight="false" outlineLevel="0" collapsed="false">
      <c r="A38" s="2" t="n">
        <v>46583</v>
      </c>
      <c r="B38" s="3" t="str">
        <f aca="false">CHOOSE(WEEKDAY(A38,2),"lundi","mardi","mercredi","jeudi","vendredi","samedi","dimanche")</f>
        <v>jeudi</v>
      </c>
      <c r="C38" s="3" t="s">
        <v>44</v>
      </c>
      <c r="D38" s="4" t="s">
        <v>15</v>
      </c>
      <c r="E38" s="3" t="s">
        <v>16</v>
      </c>
      <c r="F38" s="3" t="s">
        <v>17</v>
      </c>
      <c r="G38" s="5" t="s">
        <v>18</v>
      </c>
      <c r="H38" s="5"/>
      <c r="I38" s="6" t="s">
        <v>19</v>
      </c>
      <c r="J38" s="6"/>
      <c r="K38" s="2" t="n">
        <f aca="false">WORKDAY(A38,-5,Règles!$A$13:$A$34)</f>
        <v>46575</v>
      </c>
      <c r="L38" s="2" t="n">
        <f aca="false">IF(F38="FR","—",WORKDAY(A38,-3,Règles!$A$13:$A$34))</f>
        <v>46577</v>
      </c>
      <c r="M38" s="2" t="n">
        <f aca="false">WORKDAY(A38,-1,Règles!$A$13:$A$34)</f>
        <v>46581</v>
      </c>
      <c r="N38" s="7"/>
    </row>
    <row r="39" customFormat="false" ht="15" hidden="false" customHeight="false" outlineLevel="0" collapsed="false">
      <c r="A39" s="2" t="n">
        <v>46598</v>
      </c>
      <c r="B39" s="3" t="str">
        <f aca="false">CHOOSE(WEEKDAY(A39,2),"lundi","mardi","mercredi","jeudi","vendredi","samedi","dimanche")</f>
        <v>vendredi</v>
      </c>
      <c r="C39" s="3" t="s">
        <v>44</v>
      </c>
      <c r="D39" s="8" t="s">
        <v>20</v>
      </c>
      <c r="E39" s="3" t="s">
        <v>21</v>
      </c>
      <c r="F39" s="3" t="s">
        <v>22</v>
      </c>
      <c r="G39" s="5" t="s">
        <v>18</v>
      </c>
      <c r="H39" s="5"/>
      <c r="I39" s="6" t="s">
        <v>19</v>
      </c>
      <c r="J39" s="6"/>
      <c r="K39" s="2" t="n">
        <f aca="false">WORKDAY(A39,-5,Règles!$A$13:$A$34)</f>
        <v>46591</v>
      </c>
      <c r="L39" s="2" t="n">
        <f aca="false">IF(F39="FR","—",WORKDAY(A39,-3,Règles!$A$13:$A$34))</f>
        <v>46595</v>
      </c>
      <c r="M39" s="2" t="n">
        <f aca="false">WORKDAY(A39,-1,Règles!$A$13:$A$34)</f>
        <v>46597</v>
      </c>
      <c r="N39" s="7"/>
    </row>
    <row r="40" customFormat="false" ht="15" hidden="false" customHeight="false" outlineLevel="0" collapsed="false">
      <c r="A40" s="2" t="n">
        <v>46598</v>
      </c>
      <c r="B40" s="3" t="str">
        <f aca="false">CHOOSE(WEEKDAY(A40,2),"lundi","mardi","mercredi","jeudi","vendredi","samedi","dimanche")</f>
        <v>vendredi</v>
      </c>
      <c r="C40" s="3" t="s">
        <v>44</v>
      </c>
      <c r="D40" s="9" t="s">
        <v>26</v>
      </c>
      <c r="E40" s="3" t="s">
        <v>27</v>
      </c>
      <c r="F40" s="3" t="s">
        <v>28</v>
      </c>
      <c r="G40" s="5" t="s">
        <v>18</v>
      </c>
      <c r="H40" s="5"/>
      <c r="I40" s="6" t="s">
        <v>19</v>
      </c>
      <c r="J40" s="6"/>
      <c r="K40" s="2" t="n">
        <f aca="false">WORKDAY(A40,-5,Règles!$A$13:$A$34)</f>
        <v>46591</v>
      </c>
      <c r="L40" s="2" t="str">
        <f aca="false">IF(F40="FR","—",WORKDAY(A40,-3,Règles!$A$13:$A$34))</f>
        <v>—</v>
      </c>
      <c r="M40" s="2" t="n">
        <f aca="false">WORKDAY(A40,-1,Règles!$A$13:$A$34)</f>
        <v>46597</v>
      </c>
      <c r="N40" s="7"/>
    </row>
    <row r="41" customFormat="false" ht="15" hidden="false" customHeight="false" outlineLevel="0" collapsed="false">
      <c r="A41" s="2" t="n">
        <v>46601</v>
      </c>
      <c r="B41" s="3" t="str">
        <f aca="false">CHOOSE(WEEKDAY(A41,2),"lundi","mardi","mercredi","jeudi","vendredi","samedi","dimanche")</f>
        <v>lundi</v>
      </c>
      <c r="C41" s="3" t="s">
        <v>44</v>
      </c>
      <c r="D41" s="10" t="s">
        <v>29</v>
      </c>
      <c r="E41" s="3" t="s">
        <v>21</v>
      </c>
      <c r="F41" s="3" t="s">
        <v>22</v>
      </c>
      <c r="G41" s="5" t="s">
        <v>18</v>
      </c>
      <c r="H41" s="5"/>
      <c r="I41" s="6" t="s">
        <v>30</v>
      </c>
      <c r="J41" s="6"/>
      <c r="K41" s="2" t="n">
        <f aca="false">WORKDAY(A41,-5,Règles!$A$13:$A$34)</f>
        <v>46594</v>
      </c>
      <c r="L41" s="2" t="n">
        <f aca="false">IF(F41="FR","—",WORKDAY(A41,-3,Règles!$A$13:$A$34))</f>
        <v>46596</v>
      </c>
      <c r="M41" s="2" t="n">
        <f aca="false">WORKDAY(A41,-1,Règles!$A$13:$A$34)</f>
        <v>46598</v>
      </c>
      <c r="N41" s="7"/>
    </row>
    <row r="42" customFormat="false" ht="26.85" hidden="false" customHeight="false" outlineLevel="0" collapsed="false">
      <c r="A42" s="2" t="n">
        <v>46615</v>
      </c>
      <c r="B42" s="3" t="str">
        <f aca="false">CHOOSE(WEEKDAY(A42,2),"lundi","mardi","mercredi","jeudi","vendredi","samedi","dimanche")</f>
        <v>lundi</v>
      </c>
      <c r="C42" s="3" t="s">
        <v>45</v>
      </c>
      <c r="D42" s="4" t="s">
        <v>15</v>
      </c>
      <c r="E42" s="3" t="s">
        <v>16</v>
      </c>
      <c r="F42" s="3" t="s">
        <v>17</v>
      </c>
      <c r="G42" s="5" t="s">
        <v>18</v>
      </c>
      <c r="H42" s="5"/>
      <c r="I42" s="6" t="s">
        <v>19</v>
      </c>
      <c r="J42" s="6"/>
      <c r="K42" s="2" t="n">
        <f aca="false">WORKDAY(A42,-5,Règles!$A$13:$A$34)</f>
        <v>46608</v>
      </c>
      <c r="L42" s="2" t="n">
        <f aca="false">IF(F42="FR","—",WORKDAY(A42,-3,Règles!$A$13:$A$34))</f>
        <v>46610</v>
      </c>
      <c r="M42" s="2" t="n">
        <f aca="false">WORKDAY(A42,-1,Règles!$A$13:$A$34)</f>
        <v>46612</v>
      </c>
      <c r="N42" s="7" t="s">
        <v>46</v>
      </c>
    </row>
    <row r="43" customFormat="false" ht="15" hidden="false" customHeight="false" outlineLevel="0" collapsed="false">
      <c r="A43" s="2" t="n">
        <v>46626</v>
      </c>
      <c r="B43" s="3" t="str">
        <f aca="false">CHOOSE(WEEKDAY(A43,2),"lundi","mardi","mercredi","jeudi","vendredi","samedi","dimanche")</f>
        <v>vendredi</v>
      </c>
      <c r="C43" s="3" t="s">
        <v>45</v>
      </c>
      <c r="D43" s="8" t="s">
        <v>20</v>
      </c>
      <c r="E43" s="3" t="s">
        <v>21</v>
      </c>
      <c r="F43" s="3" t="s">
        <v>22</v>
      </c>
      <c r="G43" s="5" t="s">
        <v>18</v>
      </c>
      <c r="H43" s="5"/>
      <c r="I43" s="6" t="s">
        <v>19</v>
      </c>
      <c r="J43" s="6"/>
      <c r="K43" s="2" t="n">
        <f aca="false">WORKDAY(A43,-5,Règles!$A$13:$A$34)</f>
        <v>46619</v>
      </c>
      <c r="L43" s="2" t="n">
        <f aca="false">IF(F43="FR","—",WORKDAY(A43,-3,Règles!$A$13:$A$34))</f>
        <v>46623</v>
      </c>
      <c r="M43" s="2" t="n">
        <f aca="false">WORKDAY(A43,-1,Règles!$A$13:$A$34)</f>
        <v>46625</v>
      </c>
      <c r="N43" s="7"/>
    </row>
    <row r="44" customFormat="false" ht="15" hidden="false" customHeight="false" outlineLevel="0" collapsed="false">
      <c r="A44" s="2" t="n">
        <v>46626</v>
      </c>
      <c r="B44" s="3" t="str">
        <f aca="false">CHOOSE(WEEKDAY(A44,2),"lundi","mardi","mercredi","jeudi","vendredi","samedi","dimanche")</f>
        <v>vendredi</v>
      </c>
      <c r="C44" s="3" t="s">
        <v>45</v>
      </c>
      <c r="D44" s="9" t="s">
        <v>26</v>
      </c>
      <c r="E44" s="3" t="s">
        <v>27</v>
      </c>
      <c r="F44" s="3" t="s">
        <v>28</v>
      </c>
      <c r="G44" s="5" t="s">
        <v>18</v>
      </c>
      <c r="H44" s="5"/>
      <c r="I44" s="6" t="s">
        <v>19</v>
      </c>
      <c r="J44" s="6"/>
      <c r="K44" s="2" t="n">
        <f aca="false">WORKDAY(A44,-5,Règles!$A$13:$A$34)</f>
        <v>46619</v>
      </c>
      <c r="L44" s="2" t="str">
        <f aca="false">IF(F44="FR","—",WORKDAY(A44,-3,Règles!$A$13:$A$34))</f>
        <v>—</v>
      </c>
      <c r="M44" s="2" t="n">
        <f aca="false">WORKDAY(A44,-1,Règles!$A$13:$A$34)</f>
        <v>46625</v>
      </c>
      <c r="N44" s="7"/>
    </row>
    <row r="45" customFormat="false" ht="15" hidden="false" customHeight="false" outlineLevel="0" collapsed="false">
      <c r="A45" s="2" t="n">
        <v>46629</v>
      </c>
      <c r="B45" s="3" t="str">
        <f aca="false">CHOOSE(WEEKDAY(A45,2),"lundi","mardi","mercredi","jeudi","vendredi","samedi","dimanche")</f>
        <v>lundi</v>
      </c>
      <c r="C45" s="3" t="s">
        <v>45</v>
      </c>
      <c r="D45" s="10" t="s">
        <v>29</v>
      </c>
      <c r="E45" s="3" t="s">
        <v>21</v>
      </c>
      <c r="F45" s="3" t="s">
        <v>22</v>
      </c>
      <c r="G45" s="5" t="s">
        <v>18</v>
      </c>
      <c r="H45" s="5"/>
      <c r="I45" s="6" t="s">
        <v>30</v>
      </c>
      <c r="J45" s="6"/>
      <c r="K45" s="2" t="n">
        <f aca="false">WORKDAY(A45,-5,Règles!$A$13:$A$34)</f>
        <v>46622</v>
      </c>
      <c r="L45" s="2" t="n">
        <f aca="false">IF(F45="FR","—",WORKDAY(A45,-3,Règles!$A$13:$A$34))</f>
        <v>46624</v>
      </c>
      <c r="M45" s="2" t="n">
        <f aca="false">WORKDAY(A45,-1,Règles!$A$13:$A$34)</f>
        <v>46626</v>
      </c>
      <c r="N45" s="7"/>
    </row>
    <row r="46" customFormat="false" ht="15" hidden="false" customHeight="false" outlineLevel="0" collapsed="false">
      <c r="A46" s="2" t="n">
        <v>46645</v>
      </c>
      <c r="B46" s="3" t="str">
        <f aca="false">CHOOSE(WEEKDAY(A46,2),"lundi","mardi","mercredi","jeudi","vendredi","samedi","dimanche")</f>
        <v>mercredi</v>
      </c>
      <c r="C46" s="3" t="s">
        <v>47</v>
      </c>
      <c r="D46" s="4" t="s">
        <v>15</v>
      </c>
      <c r="E46" s="3" t="s">
        <v>16</v>
      </c>
      <c r="F46" s="3" t="s">
        <v>17</v>
      </c>
      <c r="G46" s="5" t="s">
        <v>18</v>
      </c>
      <c r="H46" s="5"/>
      <c r="I46" s="6" t="s">
        <v>19</v>
      </c>
      <c r="J46" s="6"/>
      <c r="K46" s="2" t="n">
        <f aca="false">WORKDAY(A46,-5,Règles!$A$13:$A$34)</f>
        <v>46638</v>
      </c>
      <c r="L46" s="2" t="n">
        <f aca="false">IF(F46="FR","—",WORKDAY(A46,-3,Règles!$A$13:$A$34))</f>
        <v>46640</v>
      </c>
      <c r="M46" s="2" t="n">
        <f aca="false">WORKDAY(A46,-1,Règles!$A$13:$A$34)</f>
        <v>46644</v>
      </c>
      <c r="N46" s="7"/>
    </row>
    <row r="47" customFormat="false" ht="15" hidden="false" customHeight="false" outlineLevel="0" collapsed="false">
      <c r="A47" s="2" t="n">
        <v>46654</v>
      </c>
      <c r="B47" s="3" t="str">
        <f aca="false">CHOOSE(WEEKDAY(A47,2),"lundi","mardi","mercredi","jeudi","vendredi","samedi","dimanche")</f>
        <v>vendredi</v>
      </c>
      <c r="C47" s="3" t="s">
        <v>47</v>
      </c>
      <c r="D47" s="8" t="s">
        <v>20</v>
      </c>
      <c r="E47" s="3" t="s">
        <v>21</v>
      </c>
      <c r="F47" s="3" t="s">
        <v>22</v>
      </c>
      <c r="G47" s="5" t="s">
        <v>18</v>
      </c>
      <c r="H47" s="5"/>
      <c r="I47" s="6" t="s">
        <v>19</v>
      </c>
      <c r="J47" s="6"/>
      <c r="K47" s="2" t="n">
        <f aca="false">WORKDAY(A47,-5,Règles!$A$13:$A$34)</f>
        <v>46647</v>
      </c>
      <c r="L47" s="2" t="n">
        <f aca="false">IF(F47="FR","—",WORKDAY(A47,-3,Règles!$A$13:$A$34))</f>
        <v>46651</v>
      </c>
      <c r="M47" s="2" t="n">
        <f aca="false">WORKDAY(A47,-1,Règles!$A$13:$A$34)</f>
        <v>46653</v>
      </c>
      <c r="N47" s="7"/>
    </row>
    <row r="48" customFormat="false" ht="15" hidden="false" customHeight="false" outlineLevel="0" collapsed="false">
      <c r="A48" s="2" t="n">
        <v>46654</v>
      </c>
      <c r="B48" s="3" t="str">
        <f aca="false">CHOOSE(WEEKDAY(A48,2),"lundi","mardi","mercredi","jeudi","vendredi","samedi","dimanche")</f>
        <v>vendredi</v>
      </c>
      <c r="C48" s="3" t="s">
        <v>47</v>
      </c>
      <c r="D48" s="9" t="s">
        <v>26</v>
      </c>
      <c r="E48" s="3" t="s">
        <v>27</v>
      </c>
      <c r="F48" s="3" t="s">
        <v>28</v>
      </c>
      <c r="G48" s="5" t="s">
        <v>18</v>
      </c>
      <c r="H48" s="5"/>
      <c r="I48" s="6" t="s">
        <v>19</v>
      </c>
      <c r="J48" s="6"/>
      <c r="K48" s="2" t="n">
        <f aca="false">WORKDAY(A48,-5,Règles!$A$13:$A$34)</f>
        <v>46647</v>
      </c>
      <c r="L48" s="2" t="str">
        <f aca="false">IF(F48="FR","—",WORKDAY(A48,-3,Règles!$A$13:$A$34))</f>
        <v>—</v>
      </c>
      <c r="M48" s="2" t="n">
        <f aca="false">WORKDAY(A48,-1,Règles!$A$13:$A$34)</f>
        <v>46653</v>
      </c>
      <c r="N48" s="7"/>
    </row>
    <row r="49" customFormat="false" ht="15" hidden="false" customHeight="false" outlineLevel="0" collapsed="false">
      <c r="A49" s="2" t="n">
        <v>46657</v>
      </c>
      <c r="B49" s="3" t="str">
        <f aca="false">CHOOSE(WEEKDAY(A49,2),"lundi","mardi","mercredi","jeudi","vendredi","samedi","dimanche")</f>
        <v>lundi</v>
      </c>
      <c r="C49" s="3" t="s">
        <v>47</v>
      </c>
      <c r="D49" s="10" t="s">
        <v>29</v>
      </c>
      <c r="E49" s="3" t="s">
        <v>21</v>
      </c>
      <c r="F49" s="3" t="s">
        <v>22</v>
      </c>
      <c r="G49" s="5" t="s">
        <v>18</v>
      </c>
      <c r="H49" s="5"/>
      <c r="I49" s="6" t="s">
        <v>30</v>
      </c>
      <c r="J49" s="6"/>
      <c r="K49" s="2" t="n">
        <f aca="false">WORKDAY(A49,-5,Règles!$A$13:$A$34)</f>
        <v>46650</v>
      </c>
      <c r="L49" s="2" t="n">
        <f aca="false">IF(F49="FR","—",WORKDAY(A49,-3,Règles!$A$13:$A$34))</f>
        <v>46652</v>
      </c>
      <c r="M49" s="2" t="n">
        <f aca="false">WORKDAY(A49,-1,Règles!$A$13:$A$34)</f>
        <v>46654</v>
      </c>
      <c r="N49" s="7"/>
    </row>
    <row r="50" customFormat="false" ht="15" hidden="false" customHeight="false" outlineLevel="0" collapsed="false">
      <c r="A50" s="2" t="n">
        <v>46675</v>
      </c>
      <c r="B50" s="3" t="str">
        <f aca="false">CHOOSE(WEEKDAY(A50,2),"lundi","mardi","mercredi","jeudi","vendredi","samedi","dimanche")</f>
        <v>vendredi</v>
      </c>
      <c r="C50" s="3" t="s">
        <v>48</v>
      </c>
      <c r="D50" s="4" t="s">
        <v>15</v>
      </c>
      <c r="E50" s="3" t="s">
        <v>16</v>
      </c>
      <c r="F50" s="3" t="s">
        <v>17</v>
      </c>
      <c r="G50" s="5" t="s">
        <v>18</v>
      </c>
      <c r="H50" s="5"/>
      <c r="I50" s="6" t="s">
        <v>19</v>
      </c>
      <c r="J50" s="6"/>
      <c r="K50" s="2" t="n">
        <f aca="false">WORKDAY(A50,-5,Règles!$A$13:$A$34)</f>
        <v>46668</v>
      </c>
      <c r="L50" s="2" t="n">
        <f aca="false">IF(F50="FR","—",WORKDAY(A50,-3,Règles!$A$13:$A$34))</f>
        <v>46672</v>
      </c>
      <c r="M50" s="2" t="n">
        <f aca="false">WORKDAY(A50,-1,Règles!$A$13:$A$34)</f>
        <v>46674</v>
      </c>
      <c r="N50" s="7"/>
    </row>
    <row r="51" customFormat="false" ht="15" hidden="false" customHeight="false" outlineLevel="0" collapsed="false">
      <c r="A51" s="2" t="n">
        <v>46689</v>
      </c>
      <c r="B51" s="3" t="str">
        <f aca="false">CHOOSE(WEEKDAY(A51,2),"lundi","mardi","mercredi","jeudi","vendredi","samedi","dimanche")</f>
        <v>vendredi</v>
      </c>
      <c r="C51" s="3" t="s">
        <v>48</v>
      </c>
      <c r="D51" s="8" t="s">
        <v>20</v>
      </c>
      <c r="E51" s="3" t="s">
        <v>21</v>
      </c>
      <c r="F51" s="3" t="s">
        <v>22</v>
      </c>
      <c r="G51" s="5" t="s">
        <v>18</v>
      </c>
      <c r="H51" s="5"/>
      <c r="I51" s="6" t="s">
        <v>19</v>
      </c>
      <c r="J51" s="6"/>
      <c r="K51" s="2" t="n">
        <f aca="false">WORKDAY(A51,-5,Règles!$A$13:$A$34)</f>
        <v>46682</v>
      </c>
      <c r="L51" s="2" t="n">
        <f aca="false">IF(F51="FR","—",WORKDAY(A51,-3,Règles!$A$13:$A$34))</f>
        <v>46686</v>
      </c>
      <c r="M51" s="2" t="n">
        <f aca="false">WORKDAY(A51,-1,Règles!$A$13:$A$34)</f>
        <v>46688</v>
      </c>
      <c r="N51" s="7"/>
    </row>
    <row r="52" customFormat="false" ht="15" hidden="false" customHeight="false" outlineLevel="0" collapsed="false">
      <c r="A52" s="2" t="n">
        <v>46689</v>
      </c>
      <c r="B52" s="3" t="str">
        <f aca="false">CHOOSE(WEEKDAY(A52,2),"lundi","mardi","mercredi","jeudi","vendredi","samedi","dimanche")</f>
        <v>vendredi</v>
      </c>
      <c r="C52" s="3" t="s">
        <v>48</v>
      </c>
      <c r="D52" s="9" t="s">
        <v>26</v>
      </c>
      <c r="E52" s="3" t="s">
        <v>27</v>
      </c>
      <c r="F52" s="3" t="s">
        <v>28</v>
      </c>
      <c r="G52" s="5" t="s">
        <v>18</v>
      </c>
      <c r="H52" s="5"/>
      <c r="I52" s="6" t="s">
        <v>19</v>
      </c>
      <c r="J52" s="6"/>
      <c r="K52" s="2" t="n">
        <f aca="false">WORKDAY(A52,-5,Règles!$A$13:$A$34)</f>
        <v>46682</v>
      </c>
      <c r="L52" s="2" t="str">
        <f aca="false">IF(F52="FR","—",WORKDAY(A52,-3,Règles!$A$13:$A$34))</f>
        <v>—</v>
      </c>
      <c r="M52" s="2" t="n">
        <f aca="false">WORKDAY(A52,-1,Règles!$A$13:$A$34)</f>
        <v>46688</v>
      </c>
      <c r="N52" s="7"/>
    </row>
    <row r="53" customFormat="false" ht="15" hidden="false" customHeight="false" outlineLevel="0" collapsed="false">
      <c r="A53" s="2" t="n">
        <v>46693</v>
      </c>
      <c r="B53" s="3" t="str">
        <f aca="false">CHOOSE(WEEKDAY(A53,2),"lundi","mardi","mercredi","jeudi","vendredi","samedi","dimanche")</f>
        <v>mardi</v>
      </c>
      <c r="C53" s="3" t="s">
        <v>48</v>
      </c>
      <c r="D53" s="10" t="s">
        <v>29</v>
      </c>
      <c r="E53" s="3" t="s">
        <v>21</v>
      </c>
      <c r="F53" s="3" t="s">
        <v>22</v>
      </c>
      <c r="G53" s="5" t="s">
        <v>18</v>
      </c>
      <c r="H53" s="5"/>
      <c r="I53" s="6" t="s">
        <v>30</v>
      </c>
      <c r="J53" s="6"/>
      <c r="K53" s="2" t="n">
        <f aca="false">WORKDAY(A53,-5,Règles!$A$13:$A$34)</f>
        <v>46685</v>
      </c>
      <c r="L53" s="2" t="n">
        <f aca="false">IF(F53="FR","—",WORKDAY(A53,-3,Règles!$A$13:$A$34))</f>
        <v>46687</v>
      </c>
      <c r="M53" s="2" t="n">
        <f aca="false">WORKDAY(A53,-1,Règles!$A$13:$A$34)</f>
        <v>46689</v>
      </c>
      <c r="N53" s="7" t="s">
        <v>49</v>
      </c>
    </row>
    <row r="54" customFormat="false" ht="15" hidden="false" customHeight="false" outlineLevel="0" collapsed="false">
      <c r="A54" s="2" t="n">
        <v>46706</v>
      </c>
      <c r="B54" s="3" t="str">
        <f aca="false">CHOOSE(WEEKDAY(A54,2),"lundi","mardi","mercredi","jeudi","vendredi","samedi","dimanche")</f>
        <v>lundi</v>
      </c>
      <c r="C54" s="3" t="s">
        <v>50</v>
      </c>
      <c r="D54" s="4" t="s">
        <v>15</v>
      </c>
      <c r="E54" s="3" t="s">
        <v>16</v>
      </c>
      <c r="F54" s="3" t="s">
        <v>17</v>
      </c>
      <c r="G54" s="5" t="s">
        <v>18</v>
      </c>
      <c r="H54" s="5"/>
      <c r="I54" s="6" t="s">
        <v>19</v>
      </c>
      <c r="J54" s="6"/>
      <c r="K54" s="2" t="n">
        <f aca="false">WORKDAY(A54,-5,Règles!$A$13:$A$34)</f>
        <v>46696</v>
      </c>
      <c r="L54" s="2" t="n">
        <f aca="false">IF(F54="FR","—",WORKDAY(A54,-3,Règles!$A$13:$A$34))</f>
        <v>46700</v>
      </c>
      <c r="M54" s="2" t="n">
        <f aca="false">WORKDAY(A54,-1,Règles!$A$13:$A$34)</f>
        <v>46703</v>
      </c>
      <c r="N54" s="7"/>
    </row>
    <row r="55" customFormat="false" ht="15" hidden="false" customHeight="false" outlineLevel="0" collapsed="false">
      <c r="A55" s="2" t="n">
        <v>46717</v>
      </c>
      <c r="B55" s="3" t="str">
        <f aca="false">CHOOSE(WEEKDAY(A55,2),"lundi","mardi","mercredi","jeudi","vendredi","samedi","dimanche")</f>
        <v>vendredi</v>
      </c>
      <c r="C55" s="3" t="s">
        <v>50</v>
      </c>
      <c r="D55" s="8" t="s">
        <v>20</v>
      </c>
      <c r="E55" s="3" t="s">
        <v>21</v>
      </c>
      <c r="F55" s="3" t="s">
        <v>22</v>
      </c>
      <c r="G55" s="5" t="s">
        <v>18</v>
      </c>
      <c r="H55" s="5"/>
      <c r="I55" s="6" t="s">
        <v>19</v>
      </c>
      <c r="J55" s="6"/>
      <c r="K55" s="2" t="n">
        <f aca="false">WORKDAY(A55,-5,Règles!$A$13:$A$34)</f>
        <v>46710</v>
      </c>
      <c r="L55" s="2" t="n">
        <f aca="false">IF(F55="FR","—",WORKDAY(A55,-3,Règles!$A$13:$A$34))</f>
        <v>46714</v>
      </c>
      <c r="M55" s="2" t="n">
        <f aca="false">WORKDAY(A55,-1,Règles!$A$13:$A$34)</f>
        <v>46716</v>
      </c>
      <c r="N55" s="7"/>
    </row>
    <row r="56" customFormat="false" ht="15" hidden="false" customHeight="false" outlineLevel="0" collapsed="false">
      <c r="A56" s="2" t="n">
        <v>46717</v>
      </c>
      <c r="B56" s="3" t="str">
        <f aca="false">CHOOSE(WEEKDAY(A56,2),"lundi","mardi","mercredi","jeudi","vendredi","samedi","dimanche")</f>
        <v>vendredi</v>
      </c>
      <c r="C56" s="3" t="s">
        <v>50</v>
      </c>
      <c r="D56" s="9" t="s">
        <v>26</v>
      </c>
      <c r="E56" s="3" t="s">
        <v>27</v>
      </c>
      <c r="F56" s="3" t="s">
        <v>28</v>
      </c>
      <c r="G56" s="5" t="s">
        <v>18</v>
      </c>
      <c r="H56" s="5"/>
      <c r="I56" s="6" t="s">
        <v>19</v>
      </c>
      <c r="J56" s="6"/>
      <c r="K56" s="2" t="n">
        <f aca="false">WORKDAY(A56,-5,Règles!$A$13:$A$34)</f>
        <v>46710</v>
      </c>
      <c r="L56" s="2" t="str">
        <f aca="false">IF(F56="FR","—",WORKDAY(A56,-3,Règles!$A$13:$A$34))</f>
        <v>—</v>
      </c>
      <c r="M56" s="2" t="n">
        <f aca="false">WORKDAY(A56,-1,Règles!$A$13:$A$34)</f>
        <v>46716</v>
      </c>
      <c r="N56" s="7"/>
    </row>
    <row r="57" customFormat="false" ht="15" hidden="false" customHeight="false" outlineLevel="0" collapsed="false">
      <c r="A57" s="2" t="n">
        <v>46720</v>
      </c>
      <c r="B57" s="3" t="str">
        <f aca="false">CHOOSE(WEEKDAY(A57,2),"lundi","mardi","mercredi","jeudi","vendredi","samedi","dimanche")</f>
        <v>lundi</v>
      </c>
      <c r="C57" s="3" t="s">
        <v>50</v>
      </c>
      <c r="D57" s="10" t="s">
        <v>29</v>
      </c>
      <c r="E57" s="3" t="s">
        <v>21</v>
      </c>
      <c r="F57" s="3" t="s">
        <v>22</v>
      </c>
      <c r="G57" s="5" t="s">
        <v>18</v>
      </c>
      <c r="H57" s="5"/>
      <c r="I57" s="6" t="s">
        <v>30</v>
      </c>
      <c r="J57" s="6"/>
      <c r="K57" s="2" t="n">
        <f aca="false">WORKDAY(A57,-5,Règles!$A$13:$A$34)</f>
        <v>46713</v>
      </c>
      <c r="L57" s="2" t="n">
        <f aca="false">IF(F57="FR","—",WORKDAY(A57,-3,Règles!$A$13:$A$34))</f>
        <v>46715</v>
      </c>
      <c r="M57" s="2" t="n">
        <f aca="false">WORKDAY(A57,-1,Règles!$A$13:$A$34)</f>
        <v>46717</v>
      </c>
      <c r="N57" s="7"/>
    </row>
    <row r="58" customFormat="false" ht="15" hidden="false" customHeight="false" outlineLevel="0" collapsed="false">
      <c r="A58" s="2" t="n">
        <v>46736</v>
      </c>
      <c r="B58" s="3" t="str">
        <f aca="false">CHOOSE(WEEKDAY(A58,2),"lundi","mardi","mercredi","jeudi","vendredi","samedi","dimanche")</f>
        <v>mercredi</v>
      </c>
      <c r="C58" s="3" t="s">
        <v>51</v>
      </c>
      <c r="D58" s="4" t="s">
        <v>15</v>
      </c>
      <c r="E58" s="3" t="s">
        <v>16</v>
      </c>
      <c r="F58" s="3" t="s">
        <v>17</v>
      </c>
      <c r="G58" s="5" t="s">
        <v>18</v>
      </c>
      <c r="H58" s="5"/>
      <c r="I58" s="6" t="s">
        <v>19</v>
      </c>
      <c r="J58" s="6"/>
      <c r="K58" s="2" t="n">
        <f aca="false">WORKDAY(A58,-5,Règles!$A$13:$A$34)</f>
        <v>46728</v>
      </c>
      <c r="L58" s="2" t="n">
        <f aca="false">IF(F58="FR","—",WORKDAY(A58,-3,Règles!$A$13:$A$34))</f>
        <v>46731</v>
      </c>
      <c r="M58" s="2" t="n">
        <f aca="false">WORKDAY(A58,-1,Règles!$A$13:$A$34)</f>
        <v>46735</v>
      </c>
      <c r="N58" s="7"/>
    </row>
    <row r="59" customFormat="false" ht="39.55" hidden="false" customHeight="false" outlineLevel="0" collapsed="false">
      <c r="A59" s="2" t="n">
        <v>46738</v>
      </c>
      <c r="B59" s="3" t="str">
        <f aca="false">CHOOSE(WEEKDAY(A59,2),"lundi","mardi","mercredi","jeudi","vendredi","samedi","dimanche")</f>
        <v>vendredi</v>
      </c>
      <c r="C59" s="3" t="s">
        <v>51</v>
      </c>
      <c r="D59" s="8" t="s">
        <v>20</v>
      </c>
      <c r="E59" s="3" t="s">
        <v>21</v>
      </c>
      <c r="F59" s="3" t="s">
        <v>22</v>
      </c>
      <c r="G59" s="5" t="s">
        <v>18</v>
      </c>
      <c r="H59" s="5"/>
      <c r="I59" s="6" t="s">
        <v>19</v>
      </c>
      <c r="J59" s="6"/>
      <c r="K59" s="2" t="n">
        <f aca="false">WORKDAY(A59,-5,Règles!$A$13:$A$34)</f>
        <v>46731</v>
      </c>
      <c r="L59" s="2" t="n">
        <f aca="false">IF(F59="FR","—",WORKDAY(A59,-3,Règles!$A$13:$A$34))</f>
        <v>46735</v>
      </c>
      <c r="M59" s="2" t="n">
        <f aca="false">WORKDAY(A59,-1,Règles!$A$13:$A$34)</f>
        <v>46737</v>
      </c>
      <c r="N59" s="7" t="s">
        <v>52</v>
      </c>
    </row>
    <row r="60" customFormat="false" ht="39.55" hidden="false" customHeight="false" outlineLevel="0" collapsed="false">
      <c r="A60" s="2" t="n">
        <v>46738</v>
      </c>
      <c r="B60" s="3" t="str">
        <f aca="false">CHOOSE(WEEKDAY(A60,2),"lundi","mardi","mercredi","jeudi","vendredi","samedi","dimanche")</f>
        <v>vendredi</v>
      </c>
      <c r="C60" s="3" t="s">
        <v>51</v>
      </c>
      <c r="D60" s="9" t="s">
        <v>26</v>
      </c>
      <c r="E60" s="3" t="s">
        <v>27</v>
      </c>
      <c r="F60" s="3" t="s">
        <v>28</v>
      </c>
      <c r="G60" s="5" t="s">
        <v>18</v>
      </c>
      <c r="H60" s="5"/>
      <c r="I60" s="6" t="s">
        <v>19</v>
      </c>
      <c r="J60" s="6"/>
      <c r="K60" s="2" t="n">
        <f aca="false">WORKDAY(A60,-5,Règles!$A$13:$A$34)</f>
        <v>46731</v>
      </c>
      <c r="L60" s="2" t="str">
        <f aca="false">IF(F60="FR","—",WORKDAY(A60,-3,Règles!$A$13:$A$34))</f>
        <v>—</v>
      </c>
      <c r="M60" s="2" t="n">
        <f aca="false">WORKDAY(A60,-1,Règles!$A$13:$A$34)</f>
        <v>46737</v>
      </c>
      <c r="N60" s="7" t="s">
        <v>52</v>
      </c>
    </row>
    <row r="61" customFormat="false" ht="15" hidden="false" customHeight="false" outlineLevel="0" collapsed="false">
      <c r="A61" s="2" t="n">
        <v>46741</v>
      </c>
      <c r="B61" s="3" t="str">
        <f aca="false">CHOOSE(WEEKDAY(A61,2),"lundi","mardi","mercredi","jeudi","vendredi","samedi","dimanche")</f>
        <v>lundi</v>
      </c>
      <c r="C61" s="3" t="s">
        <v>51</v>
      </c>
      <c r="D61" s="10" t="s">
        <v>29</v>
      </c>
      <c r="E61" s="3" t="s">
        <v>21</v>
      </c>
      <c r="F61" s="3" t="s">
        <v>22</v>
      </c>
      <c r="G61" s="5" t="s">
        <v>18</v>
      </c>
      <c r="H61" s="5"/>
      <c r="I61" s="6" t="s">
        <v>30</v>
      </c>
      <c r="J61" s="6"/>
      <c r="K61" s="2" t="n">
        <f aca="false">WORKDAY(A61,-5,Règles!$A$13:$A$34)</f>
        <v>46734</v>
      </c>
      <c r="L61" s="2" t="n">
        <f aca="false">IF(F61="FR","—",WORKDAY(A61,-3,Règles!$A$13:$A$34))</f>
        <v>46736</v>
      </c>
      <c r="M61" s="2" t="n">
        <f aca="false">WORKDAY(A61,-1,Règles!$A$13:$A$34)</f>
        <v>46738</v>
      </c>
      <c r="N61" s="7"/>
    </row>
  </sheetData>
  <autoFilter ref="A1:N61"/>
  <conditionalFormatting sqref="A2:N61">
    <cfRule type="expression" priority="2" aboveAverage="0" equalAverage="0" bottom="0" percent="0" rank="0" text="" dxfId="8">
      <formula>OR($I2="Envoyé",$I2="Annulé")</formula>
    </cfRule>
  </conditionalFormatting>
  <conditionalFormatting sqref="I2:I61">
    <cfRule type="expression" priority="3" aboveAverage="0" equalAverage="0" bottom="0" percent="0" rank="0" text="" dxfId="9">
      <formula>$I2="Programmé"</formula>
    </cfRule>
  </conditionalFormatting>
  <dataValidations count="1">
    <dataValidation allowBlank="true" errorStyle="stop" operator="between" showDropDown="false" showErrorMessage="false" showInputMessage="false" sqref="I2:I61" type="list">
      <formula1>"À rédiger,Si nouveauté,En rédaction,Rédigé,En traduction,Validé,Programmé,Envoyé,Annulé"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1" t="s">
        <v>53</v>
      </c>
    </row>
    <row r="3" customFormat="false" ht="30" hidden="false" customHeight="true" outlineLevel="0" collapsed="false">
      <c r="A3" s="12" t="s">
        <v>54</v>
      </c>
      <c r="B3" s="13" t="s">
        <v>55</v>
      </c>
      <c r="C3" s="13"/>
    </row>
    <row r="4" customFormat="false" ht="30" hidden="false" customHeight="true" outlineLevel="0" collapsed="false">
      <c r="A4" s="12" t="s">
        <v>56</v>
      </c>
      <c r="B4" s="13" t="s">
        <v>57</v>
      </c>
      <c r="C4" s="13"/>
    </row>
    <row r="5" customFormat="false" ht="30" hidden="false" customHeight="true" outlineLevel="0" collapsed="false">
      <c r="A5" s="12" t="s">
        <v>15</v>
      </c>
      <c r="B5" s="13" t="s">
        <v>58</v>
      </c>
      <c r="C5" s="13"/>
    </row>
    <row r="6" customFormat="false" ht="30" hidden="false" customHeight="true" outlineLevel="0" collapsed="false">
      <c r="A6" s="12" t="s">
        <v>59</v>
      </c>
      <c r="B6" s="13" t="s">
        <v>60</v>
      </c>
      <c r="C6" s="13"/>
    </row>
    <row r="7" customFormat="false" ht="30" hidden="false" customHeight="true" outlineLevel="0" collapsed="false">
      <c r="A7" s="12" t="s">
        <v>29</v>
      </c>
      <c r="B7" s="13" t="s">
        <v>61</v>
      </c>
      <c r="C7" s="13"/>
    </row>
    <row r="8" customFormat="false" ht="30" hidden="false" customHeight="true" outlineLevel="0" collapsed="false">
      <c r="A8" s="12" t="s">
        <v>62</v>
      </c>
      <c r="B8" s="13" t="s">
        <v>63</v>
      </c>
      <c r="C8" s="13"/>
    </row>
    <row r="9" customFormat="false" ht="30" hidden="false" customHeight="true" outlineLevel="0" collapsed="false">
      <c r="A9" s="12" t="s">
        <v>64</v>
      </c>
      <c r="B9" s="13" t="s">
        <v>65</v>
      </c>
      <c r="C9" s="13"/>
    </row>
    <row r="11" customFormat="false" ht="15" hidden="false" customHeight="false" outlineLevel="0" collapsed="false">
      <c r="A11" s="14" t="s">
        <v>66</v>
      </c>
    </row>
    <row r="12" customFormat="false" ht="31.5" hidden="false" customHeight="true" outlineLevel="0" collapsed="false">
      <c r="A12" s="1" t="s">
        <v>67</v>
      </c>
      <c r="B12" s="1" t="s">
        <v>1</v>
      </c>
      <c r="C12" s="1" t="s">
        <v>68</v>
      </c>
    </row>
    <row r="13" customFormat="false" ht="15" hidden="false" customHeight="false" outlineLevel="0" collapsed="false">
      <c r="A13" s="15" t="n">
        <v>46327</v>
      </c>
      <c r="B13" s="16" t="s">
        <v>69</v>
      </c>
      <c r="C13" s="16" t="s">
        <v>70</v>
      </c>
    </row>
    <row r="14" customFormat="false" ht="15" hidden="false" customHeight="false" outlineLevel="0" collapsed="false">
      <c r="A14" s="15" t="n">
        <v>46337</v>
      </c>
      <c r="B14" s="16" t="s">
        <v>71</v>
      </c>
      <c r="C14" s="16" t="s">
        <v>72</v>
      </c>
    </row>
    <row r="15" customFormat="false" ht="15" hidden="false" customHeight="false" outlineLevel="0" collapsed="false">
      <c r="A15" s="15" t="n">
        <v>46364</v>
      </c>
      <c r="B15" s="16" t="s">
        <v>73</v>
      </c>
      <c r="C15" s="16" t="s">
        <v>74</v>
      </c>
    </row>
    <row r="16" customFormat="false" ht="15" hidden="false" customHeight="false" outlineLevel="0" collapsed="false">
      <c r="A16" s="15" t="n">
        <v>46381</v>
      </c>
      <c r="B16" s="16" t="s">
        <v>75</v>
      </c>
      <c r="C16" s="16" t="s">
        <v>76</v>
      </c>
    </row>
    <row r="17" customFormat="false" ht="15" hidden="false" customHeight="false" outlineLevel="0" collapsed="false">
      <c r="A17" s="15" t="n">
        <v>46382</v>
      </c>
      <c r="B17" s="16" t="s">
        <v>77</v>
      </c>
      <c r="C17" s="16" t="s">
        <v>78</v>
      </c>
    </row>
    <row r="18" customFormat="false" ht="15" hidden="false" customHeight="false" outlineLevel="0" collapsed="false">
      <c r="A18" s="15" t="n">
        <v>46388</v>
      </c>
      <c r="B18" s="16" t="s">
        <v>79</v>
      </c>
      <c r="C18" s="16" t="s">
        <v>80</v>
      </c>
    </row>
    <row r="19" customFormat="false" ht="15" hidden="false" customHeight="false" outlineLevel="0" collapsed="false">
      <c r="A19" s="15" t="n">
        <v>46393</v>
      </c>
      <c r="B19" s="16" t="s">
        <v>81</v>
      </c>
      <c r="C19" s="16" t="s">
        <v>82</v>
      </c>
    </row>
    <row r="20" customFormat="false" ht="15" hidden="false" customHeight="false" outlineLevel="0" collapsed="false">
      <c r="A20" s="15" t="n">
        <v>46474</v>
      </c>
      <c r="B20" s="16" t="s">
        <v>83</v>
      </c>
      <c r="C20" s="16" t="s">
        <v>84</v>
      </c>
    </row>
    <row r="21" customFormat="false" ht="15" hidden="false" customHeight="false" outlineLevel="0" collapsed="false">
      <c r="A21" s="15" t="n">
        <v>46475</v>
      </c>
      <c r="B21" s="16" t="s">
        <v>85</v>
      </c>
      <c r="C21" s="16" t="s">
        <v>86</v>
      </c>
    </row>
    <row r="22" customFormat="false" ht="15" hidden="false" customHeight="false" outlineLevel="0" collapsed="false">
      <c r="A22" s="15" t="n">
        <v>46502</v>
      </c>
      <c r="B22" s="16" t="s">
        <v>87</v>
      </c>
      <c r="C22" s="16" t="s">
        <v>88</v>
      </c>
    </row>
    <row r="23" customFormat="false" ht="15" hidden="false" customHeight="false" outlineLevel="0" collapsed="false">
      <c r="A23" s="15" t="n">
        <v>46508</v>
      </c>
      <c r="B23" s="16" t="s">
        <v>89</v>
      </c>
      <c r="C23" s="16" t="s">
        <v>90</v>
      </c>
    </row>
    <row r="24" customFormat="false" ht="15" hidden="false" customHeight="false" outlineLevel="0" collapsed="false">
      <c r="A24" s="15" t="n">
        <v>46513</v>
      </c>
      <c r="B24" s="16" t="s">
        <v>91</v>
      </c>
      <c r="C24" s="16" t="s">
        <v>92</v>
      </c>
    </row>
    <row r="25" customFormat="false" ht="15" hidden="false" customHeight="false" outlineLevel="0" collapsed="false">
      <c r="A25" s="15" t="n">
        <v>46515</v>
      </c>
      <c r="B25" s="16" t="s">
        <v>93</v>
      </c>
      <c r="C25" s="16" t="s">
        <v>94</v>
      </c>
    </row>
    <row r="26" customFormat="false" ht="15" hidden="false" customHeight="false" outlineLevel="0" collapsed="false">
      <c r="A26" s="15" t="n">
        <v>46524</v>
      </c>
      <c r="B26" s="16" t="s">
        <v>95</v>
      </c>
      <c r="C26" s="16" t="s">
        <v>96</v>
      </c>
    </row>
    <row r="27" customFormat="false" ht="15" hidden="false" customHeight="false" outlineLevel="0" collapsed="false">
      <c r="A27" s="15" t="n">
        <v>46540</v>
      </c>
      <c r="B27" s="16" t="s">
        <v>97</v>
      </c>
      <c r="C27" s="16" t="s">
        <v>98</v>
      </c>
    </row>
    <row r="28" customFormat="false" ht="15" hidden="false" customHeight="false" outlineLevel="0" collapsed="false">
      <c r="A28" s="15" t="n">
        <v>46582</v>
      </c>
      <c r="B28" s="16" t="s">
        <v>99</v>
      </c>
      <c r="C28" s="16" t="s">
        <v>100</v>
      </c>
    </row>
    <row r="29" customFormat="false" ht="15" hidden="false" customHeight="false" outlineLevel="0" collapsed="false">
      <c r="A29" s="15" t="n">
        <v>46614</v>
      </c>
      <c r="B29" s="16" t="s">
        <v>101</v>
      </c>
      <c r="C29" s="16" t="s">
        <v>102</v>
      </c>
    </row>
    <row r="30" customFormat="false" ht="15" hidden="false" customHeight="false" outlineLevel="0" collapsed="false">
      <c r="A30" s="15" t="n">
        <v>46692</v>
      </c>
      <c r="B30" s="16" t="s">
        <v>103</v>
      </c>
      <c r="C30" s="16" t="s">
        <v>70</v>
      </c>
    </row>
    <row r="31" customFormat="false" ht="15" hidden="false" customHeight="false" outlineLevel="0" collapsed="false">
      <c r="A31" s="15" t="n">
        <v>46702</v>
      </c>
      <c r="B31" s="16" t="s">
        <v>104</v>
      </c>
      <c r="C31" s="16" t="s">
        <v>72</v>
      </c>
    </row>
    <row r="32" customFormat="false" ht="15" hidden="false" customHeight="false" outlineLevel="0" collapsed="false">
      <c r="A32" s="15" t="n">
        <v>46729</v>
      </c>
      <c r="B32" s="16" t="s">
        <v>105</v>
      </c>
      <c r="C32" s="16" t="s">
        <v>74</v>
      </c>
    </row>
    <row r="33" customFormat="false" ht="15" hidden="false" customHeight="false" outlineLevel="0" collapsed="false">
      <c r="A33" s="15" t="n">
        <v>46746</v>
      </c>
      <c r="B33" s="16" t="s">
        <v>106</v>
      </c>
      <c r="C33" s="16" t="s">
        <v>76</v>
      </c>
    </row>
    <row r="34" customFormat="false" ht="15" hidden="false" customHeight="false" outlineLevel="0" collapsed="false">
      <c r="A34" s="15" t="n">
        <v>46747</v>
      </c>
      <c r="B34" s="16" t="s">
        <v>107</v>
      </c>
      <c r="C34" s="16" t="s">
        <v>78</v>
      </c>
    </row>
  </sheetData>
  <mergeCells count="7">
    <mergeCell ref="B3:C3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30"/>
  </cols>
  <sheetData>
    <row r="1" customFormat="false" ht="31.5" hidden="false" customHeight="true" outlineLevel="0" collapsed="false">
      <c r="A1" s="1" t="s">
        <v>2</v>
      </c>
      <c r="B1" s="1" t="s">
        <v>15</v>
      </c>
      <c r="C1" s="1" t="s">
        <v>20</v>
      </c>
      <c r="D1" s="1" t="s">
        <v>26</v>
      </c>
      <c r="E1" s="1" t="s">
        <v>29</v>
      </c>
    </row>
    <row r="2" customFormat="false" ht="15" hidden="false" customHeight="false" outlineLevel="0" collapsed="false">
      <c r="A2" s="17" t="s">
        <v>14</v>
      </c>
      <c r="B2" s="18" t="n">
        <f aca="false">_xlfn.MINIFS(Calendrier!$A$2:$A$61,Calendrier!$C$2:$C$61,$A2,Calendrier!$D$2:$D$61,"B2B")</f>
        <v>46310</v>
      </c>
      <c r="C2" s="18" t="n">
        <f aca="false">_xlfn.MINIFS(Calendrier!$A$2:$A$61,Calendrier!$C$2:$C$61,$A2,Calendrier!$D$2:$D$61,"Trucker")</f>
        <v>46325</v>
      </c>
      <c r="D2" s="18" t="n">
        <f aca="false">_xlfn.MINIFS(Calendrier!$A$2:$A$61,Calendrier!$C$2:$C$61,$A2,Calendrier!$D$2:$D$61,"Owner")</f>
        <v>46325</v>
      </c>
      <c r="E2" s="18" t="n">
        <f aca="false">_xlfn.MINIFS(Calendrier!$A$2:$A$61,Calendrier!$C$2:$C$61,$A2,Calendrier!$D$2:$D$61,"Nouveautés Trucker")</f>
        <v>46328</v>
      </c>
    </row>
    <row r="3" customFormat="false" ht="15" hidden="false" customHeight="false" outlineLevel="0" collapsed="false">
      <c r="A3" s="17" t="s">
        <v>31</v>
      </c>
      <c r="B3" s="18" t="n">
        <f aca="false">_xlfn.MINIFS(Calendrier!$A$2:$A$61,Calendrier!$C$2:$C$61,$A3,Calendrier!$D$2:$D$61,"B2B")</f>
        <v>46342</v>
      </c>
      <c r="C3" s="18" t="n">
        <f aca="false">_xlfn.MINIFS(Calendrier!$A$2:$A$61,Calendrier!$C$2:$C$61,$A3,Calendrier!$D$2:$D$61,"Trucker")</f>
        <v>46353</v>
      </c>
      <c r="D3" s="18" t="n">
        <f aca="false">_xlfn.MINIFS(Calendrier!$A$2:$A$61,Calendrier!$C$2:$C$61,$A3,Calendrier!$D$2:$D$61,"Owner")</f>
        <v>46353</v>
      </c>
      <c r="E3" s="18" t="n">
        <f aca="false">_xlfn.MINIFS(Calendrier!$A$2:$A$61,Calendrier!$C$2:$C$61,$A3,Calendrier!$D$2:$D$61,"Nouveautés Trucker")</f>
        <v>46356</v>
      </c>
    </row>
    <row r="4" customFormat="false" ht="15" hidden="false" customHeight="false" outlineLevel="0" collapsed="false">
      <c r="A4" s="17" t="s">
        <v>33</v>
      </c>
      <c r="B4" s="18" t="n">
        <f aca="false">_xlfn.MINIFS(Calendrier!$A$2:$A$61,Calendrier!$C$2:$C$61,$A4,Calendrier!$D$2:$D$61,"B2B")</f>
        <v>46371</v>
      </c>
      <c r="C4" s="18" t="n">
        <f aca="false">_xlfn.MINIFS(Calendrier!$A$2:$A$61,Calendrier!$C$2:$C$61,$A4,Calendrier!$D$2:$D$61,"Trucker")</f>
        <v>46374</v>
      </c>
      <c r="D4" s="18" t="n">
        <f aca="false">_xlfn.MINIFS(Calendrier!$A$2:$A$61,Calendrier!$C$2:$C$61,$A4,Calendrier!$D$2:$D$61,"Owner")</f>
        <v>46374</v>
      </c>
      <c r="E4" s="18" t="n">
        <f aca="false">_xlfn.MINIFS(Calendrier!$A$2:$A$61,Calendrier!$C$2:$C$61,$A4,Calendrier!$D$2:$D$61,"Nouveautés Trucker")</f>
        <v>46377</v>
      </c>
    </row>
    <row r="5" customFormat="false" ht="15" hidden="false" customHeight="false" outlineLevel="0" collapsed="false">
      <c r="A5" s="17" t="s">
        <v>35</v>
      </c>
      <c r="B5" s="18" t="n">
        <f aca="false">_xlfn.MINIFS(Calendrier!$A$2:$A$61,Calendrier!$C$2:$C$61,$A5,Calendrier!$D$2:$D$61,"B2B")</f>
        <v>46402</v>
      </c>
      <c r="C5" s="18" t="n">
        <f aca="false">_xlfn.MINIFS(Calendrier!$A$2:$A$61,Calendrier!$C$2:$C$61,$A5,Calendrier!$D$2:$D$61,"Trucker")</f>
        <v>46416</v>
      </c>
      <c r="D5" s="18" t="n">
        <f aca="false">_xlfn.MINIFS(Calendrier!$A$2:$A$61,Calendrier!$C$2:$C$61,$A5,Calendrier!$D$2:$D$61,"Owner")</f>
        <v>46416</v>
      </c>
      <c r="E5" s="18" t="n">
        <f aca="false">_xlfn.MINIFS(Calendrier!$A$2:$A$61,Calendrier!$C$2:$C$61,$A5,Calendrier!$D$2:$D$61,"Nouveautés Trucker")</f>
        <v>46419</v>
      </c>
    </row>
    <row r="6" customFormat="false" ht="15" hidden="false" customHeight="false" outlineLevel="0" collapsed="false">
      <c r="A6" s="17" t="s">
        <v>36</v>
      </c>
      <c r="B6" s="18" t="n">
        <f aca="false">_xlfn.MINIFS(Calendrier!$A$2:$A$61,Calendrier!$C$2:$C$61,$A6,Calendrier!$D$2:$D$61,"B2B")</f>
        <v>46433</v>
      </c>
      <c r="C6" s="18" t="n">
        <f aca="false">_xlfn.MINIFS(Calendrier!$A$2:$A$61,Calendrier!$C$2:$C$61,$A6,Calendrier!$D$2:$D$61,"Trucker")</f>
        <v>46444</v>
      </c>
      <c r="D6" s="18" t="n">
        <f aca="false">_xlfn.MINIFS(Calendrier!$A$2:$A$61,Calendrier!$C$2:$C$61,$A6,Calendrier!$D$2:$D$61,"Owner")</f>
        <v>46444</v>
      </c>
      <c r="E6" s="18" t="n">
        <f aca="false">_xlfn.MINIFS(Calendrier!$A$2:$A$61,Calendrier!$C$2:$C$61,$A6,Calendrier!$D$2:$D$61,"Nouveautés Trucker")</f>
        <v>46447</v>
      </c>
    </row>
    <row r="7" customFormat="false" ht="15" hidden="false" customHeight="false" outlineLevel="0" collapsed="false">
      <c r="A7" s="17" t="s">
        <v>37</v>
      </c>
      <c r="B7" s="18" t="n">
        <f aca="false">_xlfn.MINIFS(Calendrier!$A$2:$A$61,Calendrier!$C$2:$C$61,$A7,Calendrier!$D$2:$D$61,"B2B")</f>
        <v>46461</v>
      </c>
      <c r="C7" s="18" t="n">
        <f aca="false">_xlfn.MINIFS(Calendrier!$A$2:$A$61,Calendrier!$C$2:$C$61,$A7,Calendrier!$D$2:$D$61,"Trucker")</f>
        <v>46472</v>
      </c>
      <c r="D7" s="18" t="n">
        <f aca="false">_xlfn.MINIFS(Calendrier!$A$2:$A$61,Calendrier!$C$2:$C$61,$A7,Calendrier!$D$2:$D$61,"Owner")</f>
        <v>46472</v>
      </c>
      <c r="E7" s="18" t="n">
        <f aca="false">_xlfn.MINIFS(Calendrier!$A$2:$A$61,Calendrier!$C$2:$C$61,$A7,Calendrier!$D$2:$D$61,"Nouveautés Trucker")</f>
        <v>46476</v>
      </c>
    </row>
    <row r="8" customFormat="false" ht="15" hidden="false" customHeight="false" outlineLevel="0" collapsed="false">
      <c r="A8" s="17" t="s">
        <v>40</v>
      </c>
      <c r="B8" s="18" t="n">
        <f aca="false">_xlfn.MINIFS(Calendrier!$A$2:$A$61,Calendrier!$C$2:$C$61,$A8,Calendrier!$D$2:$D$61,"B2B")</f>
        <v>46492</v>
      </c>
      <c r="C8" s="18" t="n">
        <f aca="false">_xlfn.MINIFS(Calendrier!$A$2:$A$61,Calendrier!$C$2:$C$61,$A8,Calendrier!$D$2:$D$61,"Trucker")</f>
        <v>46507</v>
      </c>
      <c r="D8" s="18" t="n">
        <f aca="false">_xlfn.MINIFS(Calendrier!$A$2:$A$61,Calendrier!$C$2:$C$61,$A8,Calendrier!$D$2:$D$61,"Owner")</f>
        <v>46507</v>
      </c>
      <c r="E8" s="18" t="n">
        <f aca="false">_xlfn.MINIFS(Calendrier!$A$2:$A$61,Calendrier!$C$2:$C$61,$A8,Calendrier!$D$2:$D$61,"Nouveautés Trucker")</f>
        <v>46510</v>
      </c>
    </row>
    <row r="9" customFormat="false" ht="15" hidden="false" customHeight="false" outlineLevel="0" collapsed="false">
      <c r="A9" s="17" t="s">
        <v>41</v>
      </c>
      <c r="B9" s="18" t="n">
        <f aca="false">_xlfn.MINIFS(Calendrier!$A$2:$A$61,Calendrier!$C$2:$C$61,$A9,Calendrier!$D$2:$D$61,"B2B")</f>
        <v>46521</v>
      </c>
      <c r="C9" s="18" t="n">
        <f aca="false">_xlfn.MINIFS(Calendrier!$A$2:$A$61,Calendrier!$C$2:$C$61,$A9,Calendrier!$D$2:$D$61,"Trucker")</f>
        <v>46535</v>
      </c>
      <c r="D9" s="18" t="n">
        <f aca="false">_xlfn.MINIFS(Calendrier!$A$2:$A$61,Calendrier!$C$2:$C$61,$A9,Calendrier!$D$2:$D$61,"Owner")</f>
        <v>46535</v>
      </c>
      <c r="E9" s="18" t="n">
        <f aca="false">_xlfn.MINIFS(Calendrier!$A$2:$A$61,Calendrier!$C$2:$C$61,$A9,Calendrier!$D$2:$D$61,"Nouveautés Trucker")</f>
        <v>46538</v>
      </c>
    </row>
    <row r="10" customFormat="false" ht="15" hidden="false" customHeight="false" outlineLevel="0" collapsed="false">
      <c r="A10" s="17" t="s">
        <v>43</v>
      </c>
      <c r="B10" s="18" t="n">
        <f aca="false">_xlfn.MINIFS(Calendrier!$A$2:$A$61,Calendrier!$C$2:$C$61,$A10,Calendrier!$D$2:$D$61,"B2B")</f>
        <v>46553</v>
      </c>
      <c r="C10" s="18" t="n">
        <f aca="false">_xlfn.MINIFS(Calendrier!$A$2:$A$61,Calendrier!$C$2:$C$61,$A10,Calendrier!$D$2:$D$61,"Trucker")</f>
        <v>46563</v>
      </c>
      <c r="D10" s="18" t="n">
        <f aca="false">_xlfn.MINIFS(Calendrier!$A$2:$A$61,Calendrier!$C$2:$C$61,$A10,Calendrier!$D$2:$D$61,"Owner")</f>
        <v>46563</v>
      </c>
      <c r="E10" s="18" t="n">
        <f aca="false">_xlfn.MINIFS(Calendrier!$A$2:$A$61,Calendrier!$C$2:$C$61,$A10,Calendrier!$D$2:$D$61,"Nouveautés Trucker")</f>
        <v>46566</v>
      </c>
    </row>
    <row r="11" customFormat="false" ht="15" hidden="false" customHeight="false" outlineLevel="0" collapsed="false">
      <c r="A11" s="17" t="s">
        <v>44</v>
      </c>
      <c r="B11" s="18" t="n">
        <f aca="false">_xlfn.MINIFS(Calendrier!$A$2:$A$61,Calendrier!$C$2:$C$61,$A11,Calendrier!$D$2:$D$61,"B2B")</f>
        <v>46583</v>
      </c>
      <c r="C11" s="18" t="n">
        <f aca="false">_xlfn.MINIFS(Calendrier!$A$2:$A$61,Calendrier!$C$2:$C$61,$A11,Calendrier!$D$2:$D$61,"Trucker")</f>
        <v>46598</v>
      </c>
      <c r="D11" s="18" t="n">
        <f aca="false">_xlfn.MINIFS(Calendrier!$A$2:$A$61,Calendrier!$C$2:$C$61,$A11,Calendrier!$D$2:$D$61,"Owner")</f>
        <v>46598</v>
      </c>
      <c r="E11" s="18" t="n">
        <f aca="false">_xlfn.MINIFS(Calendrier!$A$2:$A$61,Calendrier!$C$2:$C$61,$A11,Calendrier!$D$2:$D$61,"Nouveautés Trucker")</f>
        <v>46601</v>
      </c>
    </row>
    <row r="12" customFormat="false" ht="15" hidden="false" customHeight="false" outlineLevel="0" collapsed="false">
      <c r="A12" s="17" t="s">
        <v>45</v>
      </c>
      <c r="B12" s="18" t="n">
        <f aca="false">_xlfn.MINIFS(Calendrier!$A$2:$A$61,Calendrier!$C$2:$C$61,$A12,Calendrier!$D$2:$D$61,"B2B")</f>
        <v>46615</v>
      </c>
      <c r="C12" s="18" t="n">
        <f aca="false">_xlfn.MINIFS(Calendrier!$A$2:$A$61,Calendrier!$C$2:$C$61,$A12,Calendrier!$D$2:$D$61,"Trucker")</f>
        <v>46626</v>
      </c>
      <c r="D12" s="18" t="n">
        <f aca="false">_xlfn.MINIFS(Calendrier!$A$2:$A$61,Calendrier!$C$2:$C$61,$A12,Calendrier!$D$2:$D$61,"Owner")</f>
        <v>46626</v>
      </c>
      <c r="E12" s="18" t="n">
        <f aca="false">_xlfn.MINIFS(Calendrier!$A$2:$A$61,Calendrier!$C$2:$C$61,$A12,Calendrier!$D$2:$D$61,"Nouveautés Trucker")</f>
        <v>46629</v>
      </c>
    </row>
    <row r="13" customFormat="false" ht="15" hidden="false" customHeight="false" outlineLevel="0" collapsed="false">
      <c r="A13" s="17" t="s">
        <v>47</v>
      </c>
      <c r="B13" s="18" t="n">
        <f aca="false">_xlfn.MINIFS(Calendrier!$A$2:$A$61,Calendrier!$C$2:$C$61,$A13,Calendrier!$D$2:$D$61,"B2B")</f>
        <v>46645</v>
      </c>
      <c r="C13" s="18" t="n">
        <f aca="false">_xlfn.MINIFS(Calendrier!$A$2:$A$61,Calendrier!$C$2:$C$61,$A13,Calendrier!$D$2:$D$61,"Trucker")</f>
        <v>46654</v>
      </c>
      <c r="D13" s="18" t="n">
        <f aca="false">_xlfn.MINIFS(Calendrier!$A$2:$A$61,Calendrier!$C$2:$C$61,$A13,Calendrier!$D$2:$D$61,"Owner")</f>
        <v>46654</v>
      </c>
      <c r="E13" s="18" t="n">
        <f aca="false">_xlfn.MINIFS(Calendrier!$A$2:$A$61,Calendrier!$C$2:$C$61,$A13,Calendrier!$D$2:$D$61,"Nouveautés Trucker")</f>
        <v>46657</v>
      </c>
    </row>
    <row r="14" customFormat="false" ht="15" hidden="false" customHeight="false" outlineLevel="0" collapsed="false">
      <c r="A14" s="17" t="s">
        <v>48</v>
      </c>
      <c r="B14" s="18" t="n">
        <f aca="false">_xlfn.MINIFS(Calendrier!$A$2:$A$61,Calendrier!$C$2:$C$61,$A14,Calendrier!$D$2:$D$61,"B2B")</f>
        <v>46675</v>
      </c>
      <c r="C14" s="18" t="n">
        <f aca="false">_xlfn.MINIFS(Calendrier!$A$2:$A$61,Calendrier!$C$2:$C$61,$A14,Calendrier!$D$2:$D$61,"Trucker")</f>
        <v>46689</v>
      </c>
      <c r="D14" s="18" t="n">
        <f aca="false">_xlfn.MINIFS(Calendrier!$A$2:$A$61,Calendrier!$C$2:$C$61,$A14,Calendrier!$D$2:$D$61,"Owner")</f>
        <v>46689</v>
      </c>
      <c r="E14" s="18" t="n">
        <f aca="false">_xlfn.MINIFS(Calendrier!$A$2:$A$61,Calendrier!$C$2:$C$61,$A14,Calendrier!$D$2:$D$61,"Nouveautés Trucker")</f>
        <v>46693</v>
      </c>
    </row>
    <row r="15" customFormat="false" ht="15" hidden="false" customHeight="false" outlineLevel="0" collapsed="false">
      <c r="A15" s="17" t="s">
        <v>50</v>
      </c>
      <c r="B15" s="18" t="n">
        <f aca="false">_xlfn.MINIFS(Calendrier!$A$2:$A$61,Calendrier!$C$2:$C$61,$A15,Calendrier!$D$2:$D$61,"B2B")</f>
        <v>46706</v>
      </c>
      <c r="C15" s="18" t="n">
        <f aca="false">_xlfn.MINIFS(Calendrier!$A$2:$A$61,Calendrier!$C$2:$C$61,$A15,Calendrier!$D$2:$D$61,"Trucker")</f>
        <v>46717</v>
      </c>
      <c r="D15" s="18" t="n">
        <f aca="false">_xlfn.MINIFS(Calendrier!$A$2:$A$61,Calendrier!$C$2:$C$61,$A15,Calendrier!$D$2:$D$61,"Owner")</f>
        <v>46717</v>
      </c>
      <c r="E15" s="18" t="n">
        <f aca="false">_xlfn.MINIFS(Calendrier!$A$2:$A$61,Calendrier!$C$2:$C$61,$A15,Calendrier!$D$2:$D$61,"Nouveautés Trucker")</f>
        <v>46720</v>
      </c>
    </row>
    <row r="16" customFormat="false" ht="15" hidden="false" customHeight="false" outlineLevel="0" collapsed="false">
      <c r="A16" s="17" t="s">
        <v>51</v>
      </c>
      <c r="B16" s="18" t="n">
        <f aca="false">_xlfn.MINIFS(Calendrier!$A$2:$A$61,Calendrier!$C$2:$C$61,$A16,Calendrier!$D$2:$D$61,"B2B")</f>
        <v>46736</v>
      </c>
      <c r="C16" s="18" t="n">
        <f aca="false">_xlfn.MINIFS(Calendrier!$A$2:$A$61,Calendrier!$C$2:$C$61,$A16,Calendrier!$D$2:$D$61,"Trucker")</f>
        <v>46738</v>
      </c>
      <c r="D16" s="18" t="n">
        <f aca="false">_xlfn.MINIFS(Calendrier!$A$2:$A$61,Calendrier!$C$2:$C$61,$A16,Calendrier!$D$2:$D$61,"Owner")</f>
        <v>46738</v>
      </c>
      <c r="E16" s="18" t="n">
        <f aca="false">_xlfn.MINIFS(Calendrier!$A$2:$A$61,Calendrier!$C$2:$C$61,$A16,Calendrier!$D$2:$D$61,"Nouveautés Trucker")</f>
        <v>46741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2026-10-08T11:34:11Z</dcterms:created>
  <dc:creator>openpyxl</dc:creator>
  <dc:description/>
  <dc:language>en-US</dc:language>
  <cp:lastModifiedBy/>
  <dcterms:modified xsi:type="dcterms:W3CDTF">2026-10-08T11:34:11Z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